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5101667C-836E-44DF-90C5-88F6D9854D68}" xr6:coauthVersionLast="47" xr6:coauthVersionMax="47" xr10:uidLastSave="{00000000-0000-0000-0000-000000000000}"/>
  <bookViews>
    <workbookView xWindow="2535" yWindow="1455" windowWidth="20340" windowHeight="13455" xr2:uid="{B3D78CDA-46C7-4FFB-A463-AF93BB4EBDFD}"/>
  </bookViews>
  <sheets>
    <sheet name="2-Composition_Table_PVT" sheetId="1" r:id="rId1"/>
    <sheet name="2-Valores Calculados" sheetId="2" r:id="rId2"/>
  </sheets>
  <externalReferences>
    <externalReference r:id="rId3"/>
  </externalReferences>
  <definedNames>
    <definedName name="_xlnm.Print_Area" localSheetId="1">'2-Valores Calculados'!$A$2:$D$51</definedName>
    <definedName name="argonio">#REF!</definedName>
    <definedName name="co">#REF!</definedName>
    <definedName name="co_2">#REF!</definedName>
    <definedName name="etano">#REF!</definedName>
    <definedName name="h_2">#REF!</definedName>
    <definedName name="h2o">#REF!</definedName>
    <definedName name="h2s">#REF!</definedName>
    <definedName name="helio">#REF!</definedName>
    <definedName name="ibutano">#REF!</definedName>
    <definedName name="ipentano">#REF!</definedName>
    <definedName name="Maior10">#REF!</definedName>
    <definedName name="mespecb">#REF!</definedName>
    <definedName name="mespecf">#REF!</definedName>
    <definedName name="metano">#REF!</definedName>
    <definedName name="nbutano">#REF!</definedName>
    <definedName name="ndecano">#REF!</definedName>
    <definedName name="nheptano">#REF!</definedName>
    <definedName name="nhexano">#REF!</definedName>
    <definedName name="nitrogenio">#REF!</definedName>
    <definedName name="nnonano">#REF!</definedName>
    <definedName name="noctano">#REF!</definedName>
    <definedName name="npentano">#REF!</definedName>
    <definedName name="oxigenio">#REF!</definedName>
    <definedName name="p_b">#REF!</definedName>
    <definedName name="p_op">#REF!</definedName>
    <definedName name="p_ref">#REF!</definedName>
    <definedName name="pressao">#REF!</definedName>
    <definedName name="propano">#REF!</definedName>
    <definedName name="t_b">#REF!</definedName>
    <definedName name="t_op">#REF!</definedName>
    <definedName name="t_ref">#REF!</definedName>
    <definedName name="temperatura">#REF!</definedName>
    <definedName name="teste">#REF!</definedName>
    <definedName name="total">#REF!</definedName>
    <definedName name="vol_op">#REF!</definedName>
    <definedName name="zb">#REF!</definedName>
    <definedName name="zf">#REF!</definedName>
  </definedNames>
  <calcPr calcId="191029" iterateCount="1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B44" i="2" s="1"/>
  <c r="B47" i="2" s="1"/>
  <c r="B41" i="2"/>
  <c r="E38" i="2" s="1"/>
  <c r="B40" i="2"/>
  <c r="B38" i="2"/>
  <c r="B37" i="2"/>
  <c r="B46" i="2" s="1"/>
  <c r="B34" i="2"/>
  <c r="B26" i="2"/>
  <c r="D26" i="2" s="1"/>
  <c r="B25" i="2"/>
  <c r="D25" i="2" s="1"/>
  <c r="C24" i="2"/>
  <c r="B22" i="2"/>
  <c r="B10" i="2"/>
  <c r="J5" i="1"/>
  <c r="I5" i="1"/>
  <c r="H5" i="1"/>
  <c r="G5" i="1"/>
  <c r="F5" i="1"/>
  <c r="E5" i="1"/>
  <c r="D5" i="1"/>
  <c r="C5" i="1"/>
  <c r="W3" i="1"/>
  <c r="V3" i="1"/>
  <c r="U3" i="1"/>
  <c r="T3" i="1"/>
  <c r="S3" i="1"/>
  <c r="R3" i="1"/>
  <c r="Q3" i="1"/>
  <c r="P3" i="1"/>
  <c r="O3" i="1"/>
  <c r="N3" i="1"/>
  <c r="M3" i="1"/>
  <c r="L3" i="1"/>
  <c r="K3" i="1"/>
  <c r="D24" i="2" l="1"/>
  <c r="B24" i="2"/>
</calcChain>
</file>

<file path=xl/sharedStrings.xml><?xml version="1.0" encoding="utf-8"?>
<sst xmlns="http://schemas.openxmlformats.org/spreadsheetml/2006/main" count="93" uniqueCount="61">
  <si>
    <t xml:space="preserve">FORMULÁRIO CALIBRAÇÃO MPFM </t>
  </si>
  <si>
    <t>02 – Atualização PVT (Nova caracterização) e parâmetros correlatos</t>
  </si>
  <si>
    <t>Initial in North East and North West wells</t>
  </si>
  <si>
    <t>Initial in South East and South West wells</t>
  </si>
  <si>
    <t>Estimated GOR (Sm3/Sm3) based on the Bacalhau separation process below</t>
  </si>
  <si>
    <t>Composition name</t>
  </si>
  <si>
    <t>Mol%</t>
  </si>
  <si>
    <t>Composition given in</t>
  </si>
  <si>
    <t>N2</t>
  </si>
  <si>
    <t>CO2</t>
  </si>
  <si>
    <t>C1</t>
  </si>
  <si>
    <t>C2</t>
  </si>
  <si>
    <t>C3</t>
  </si>
  <si>
    <t>I-C4</t>
  </si>
  <si>
    <t>N-C4</t>
  </si>
  <si>
    <t>I-C5</t>
  </si>
  <si>
    <t>N-C5</t>
  </si>
  <si>
    <t>C6</t>
  </si>
  <si>
    <t>C7</t>
  </si>
  <si>
    <t>C8</t>
  </si>
  <si>
    <t>C9</t>
  </si>
  <si>
    <t>C10+</t>
  </si>
  <si>
    <t>C10+ mol wgt</t>
  </si>
  <si>
    <t>C10+ Density (gr/cc)</t>
  </si>
  <si>
    <t>C7 MolWt</t>
  </si>
  <si>
    <t>C8 MolWt</t>
  </si>
  <si>
    <t>C9 MolWt</t>
  </si>
  <si>
    <t>C10+ MolWt</t>
  </si>
  <si>
    <t>C7 Density (kg/Sm3)</t>
  </si>
  <si>
    <t>C8 Density (kg/Sm3)</t>
  </si>
  <si>
    <t>C9 Density (kg/Sm3)</t>
  </si>
  <si>
    <t>C10+ Density (kg/Sm3)</t>
  </si>
  <si>
    <t>REGISTRO DE ÁALCULO PVT PARA CALIBRAÇÃO DE MPFM SUBSEA</t>
  </si>
  <si>
    <t>Valores calculados a partir da simulação</t>
  </si>
  <si>
    <t>Input do cálculo</t>
  </si>
  <si>
    <t>Fluido do poço</t>
  </si>
  <si>
    <t>Simulado PVTSim</t>
  </si>
  <si>
    <t>Medido</t>
  </si>
  <si>
    <t>Massa total de HC (kg/h)</t>
  </si>
  <si>
    <t>Fluidos utilizados na simulação</t>
  </si>
  <si>
    <t>Observação</t>
  </si>
  <si>
    <t>Nessa simulação foram utilizados os dois fluidos coletados no separador de teste, óleo e gás, coletados no dia 18-Out-2025 (# 1 e # 2), analisado no laboratório SLB Macaé, do poço PE-4. Os fluidos acima foram recombinados na razão de massas medidas no separador no dia da calibração (fluido # 7). O fluido recombinado foi utilizado para obter os valores de densidade de óleo do separador de teste, razão de solubilidade e fator de encolhimento do óleo.</t>
  </si>
  <si>
    <t>Ajuste do RGO_massa no separador de teste</t>
  </si>
  <si>
    <t>Separador de Teste</t>
  </si>
  <si>
    <t>Desvio</t>
  </si>
  <si>
    <t>Densidade de Óleo (kg/m3)</t>
  </si>
  <si>
    <t>-</t>
  </si>
  <si>
    <t>Massa de Óleo (kg/h)</t>
  </si>
  <si>
    <t>Massa de Gás (kg/h)</t>
  </si>
  <si>
    <t>Após recombinação dos fluidos, a massa calculada de óleo e de gás no separador de teste está de acordo com as massas de gás e óleo medidas no separador no dia do teste 26-Out-2025. Portanto, a recombinação é considerada válida e foi utilizada para estimar o fator de encolhimento e razão de solubilidade a seguir.</t>
  </si>
  <si>
    <t>Cálculo do fator de encolhimento e da razão de solubilidade</t>
  </si>
  <si>
    <t>Volume de óleo (m3/h)</t>
  </si>
  <si>
    <t>Condições padrão</t>
  </si>
  <si>
    <t>Densidade gas std​ = volume do gas @std / massa do gas @std​</t>
  </si>
  <si>
    <t>Volume de gás (m3/h)</t>
  </si>
  <si>
    <t>Densidade gas std</t>
  </si>
  <si>
    <t>Massa de gás liberada após test sep (kg/h)</t>
  </si>
  <si>
    <t>Volume de gás liberado após test sep (m3/h)</t>
  </si>
  <si>
    <t>Fator de encolhimento (m3 STD / m3)</t>
  </si>
  <si>
    <t>Razão de solubilidade (m3 STD / m3)</t>
  </si>
  <si>
    <t>Os valores obtidos de fator de encolhimento e razão de solubilidade foram utilizados no cálculo de volumes em condições padrão medidos durante o teste, para levar volumes medidos no separador de teste para condições padrão seguindo um caminho termodinâmico equivalente ao configurado no sistema FCS320.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</si>
</sst>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Tahoma"/>
      <family val="2"/>
    </font>
    <font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sz val="10"/>
      <color rgb="FF00B050"/>
      <name val="Tahoma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1" fillId="0" borderId="0" xfId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 wrapText="1"/>
    </xf>
    <xf numFmtId="0" fontId="1" fillId="4" borderId="1" xfId="1" applyFill="1" applyBorder="1" applyAlignment="1">
      <alignment vertical="center" wrapText="1"/>
    </xf>
    <xf numFmtId="3" fontId="2" fillId="4" borderId="2" xfId="1" applyNumberFormat="1" applyFont="1" applyFill="1" applyBorder="1" applyAlignment="1">
      <alignment horizontal="center" vertical="center"/>
    </xf>
    <xf numFmtId="3" fontId="5" fillId="0" borderId="3" xfId="1" applyNumberFormat="1" applyFont="1" applyBorder="1" applyAlignment="1">
      <alignment horizontal="center" vertical="center"/>
    </xf>
    <xf numFmtId="3" fontId="2" fillId="0" borderId="3" xfId="1" applyNumberFormat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1" fontId="1" fillId="0" borderId="3" xfId="1" applyNumberFormat="1" applyBorder="1" applyAlignment="1">
      <alignment horizontal="center" vertical="center"/>
    </xf>
    <xf numFmtId="0" fontId="1" fillId="4" borderId="4" xfId="1" applyFill="1" applyBorder="1" applyAlignment="1">
      <alignment vertical="center" wrapText="1"/>
    </xf>
    <xf numFmtId="1" fontId="2" fillId="0" borderId="5" xfId="1" applyNumberFormat="1" applyFont="1" applyBorder="1" applyAlignment="1">
      <alignment horizontal="center" vertical="center"/>
    </xf>
    <xf numFmtId="1" fontId="2" fillId="0" borderId="6" xfId="1" applyNumberFormat="1" applyFont="1" applyBorder="1" applyAlignment="1">
      <alignment horizontal="center" vertical="center"/>
    </xf>
    <xf numFmtId="1" fontId="2" fillId="0" borderId="7" xfId="1" applyNumberFormat="1" applyFont="1" applyBorder="1" applyAlignment="1">
      <alignment horizontal="center" vertical="center"/>
    </xf>
    <xf numFmtId="1" fontId="1" fillId="4" borderId="5" xfId="1" applyNumberFormat="1" applyFill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4" borderId="4" xfId="1" applyFill="1" applyBorder="1" applyAlignment="1">
      <alignment vertical="center"/>
    </xf>
    <xf numFmtId="0" fontId="1" fillId="4" borderId="5" xfId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64" fontId="1" fillId="0" borderId="3" xfId="1" applyNumberFormat="1" applyBorder="1" applyAlignment="1">
      <alignment horizontal="center" vertical="center"/>
    </xf>
    <xf numFmtId="164" fontId="1" fillId="4" borderId="5" xfId="1" applyNumberForma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165" fontId="1" fillId="4" borderId="5" xfId="1" applyNumberFormat="1" applyFill="1" applyBorder="1" applyAlignment="1">
      <alignment horizontal="center" vertical="center"/>
    </xf>
    <xf numFmtId="165" fontId="7" fillId="0" borderId="3" xfId="1" applyNumberFormat="1" applyFont="1" applyBorder="1" applyAlignment="1">
      <alignment horizontal="center" vertical="center"/>
    </xf>
    <xf numFmtId="165" fontId="8" fillId="0" borderId="3" xfId="1" applyNumberFormat="1" applyFont="1" applyBorder="1" applyAlignment="1">
      <alignment horizontal="center" vertical="center"/>
    </xf>
    <xf numFmtId="0" fontId="1" fillId="4" borderId="8" xfId="1" applyFill="1" applyBorder="1" applyAlignment="1">
      <alignment vertical="center"/>
    </xf>
    <xf numFmtId="164" fontId="1" fillId="4" borderId="9" xfId="1" applyNumberFormat="1" applyFill="1" applyBorder="1" applyAlignment="1">
      <alignment horizontal="center" vertical="center"/>
    </xf>
    <xf numFmtId="164" fontId="1" fillId="0" borderId="0" xfId="1" applyNumberFormat="1" applyAlignment="1">
      <alignment vertical="center"/>
    </xf>
    <xf numFmtId="0" fontId="9" fillId="0" borderId="0" xfId="2" applyFont="1"/>
    <xf numFmtId="0" fontId="10" fillId="3" borderId="0" xfId="0" applyFont="1" applyFill="1"/>
    <xf numFmtId="0" fontId="11" fillId="5" borderId="0" xfId="0" applyFont="1" applyFill="1" applyAlignment="1">
      <alignment horizontal="left" vertical="center" wrapText="1"/>
    </xf>
    <xf numFmtId="0" fontId="0" fillId="5" borderId="0" xfId="0" applyFill="1"/>
    <xf numFmtId="165" fontId="12" fillId="4" borderId="1" xfId="0" applyNumberFormat="1" applyFont="1" applyFill="1" applyBorder="1" applyAlignment="1">
      <alignment horizontal="left" vertical="center" wrapText="1"/>
    </xf>
    <xf numFmtId="165" fontId="12" fillId="4" borderId="10" xfId="0" applyNumberFormat="1" applyFont="1" applyFill="1" applyBorder="1" applyAlignment="1">
      <alignment horizontal="left" vertical="center" wrapText="1"/>
    </xf>
    <xf numFmtId="165" fontId="12" fillId="4" borderId="11" xfId="0" applyNumberFormat="1" applyFont="1" applyFill="1" applyBorder="1" applyAlignment="1">
      <alignment horizontal="left" vertical="center" wrapText="1"/>
    </xf>
    <xf numFmtId="0" fontId="13" fillId="0" borderId="0" xfId="2" applyFont="1" applyAlignment="1">
      <alignment horizontal="center"/>
    </xf>
    <xf numFmtId="0" fontId="13" fillId="0" borderId="0" xfId="2" applyFont="1"/>
    <xf numFmtId="0" fontId="14" fillId="0" borderId="0" xfId="2" applyFont="1"/>
    <xf numFmtId="0" fontId="13" fillId="0" borderId="0" xfId="2" applyFont="1" applyAlignment="1">
      <alignment horizontal="right"/>
    </xf>
    <xf numFmtId="2" fontId="13" fillId="0" borderId="0" xfId="2" applyNumberFormat="1" applyFont="1" applyAlignment="1">
      <alignment horizontal="right"/>
    </xf>
    <xf numFmtId="0" fontId="13" fillId="0" borderId="12" xfId="2" applyFont="1" applyBorder="1"/>
    <xf numFmtId="0" fontId="13" fillId="0" borderId="12" xfId="2" applyFont="1" applyBorder="1" applyAlignment="1">
      <alignment horizontal="right"/>
    </xf>
    <xf numFmtId="0" fontId="13" fillId="0" borderId="0" xfId="2" applyFont="1" applyAlignment="1">
      <alignment horizontal="left" vertical="top" wrapText="1"/>
    </xf>
    <xf numFmtId="0" fontId="9" fillId="0" borderId="0" xfId="2" applyFont="1" applyAlignment="1">
      <alignment horizontal="right"/>
    </xf>
    <xf numFmtId="0" fontId="15" fillId="0" borderId="0" xfId="2" quotePrefix="1" applyFont="1"/>
    <xf numFmtId="166" fontId="16" fillId="0" borderId="0" xfId="3" applyNumberFormat="1" applyFont="1" applyAlignment="1">
      <alignment horizontal="right"/>
    </xf>
    <xf numFmtId="0" fontId="17" fillId="0" borderId="0" xfId="0" applyFont="1" applyAlignment="1">
      <alignment horizontal="left" vertical="center"/>
    </xf>
    <xf numFmtId="2" fontId="13" fillId="0" borderId="0" xfId="2" applyNumberFormat="1" applyFont="1"/>
    <xf numFmtId="165" fontId="13" fillId="0" borderId="0" xfId="2" applyNumberFormat="1" applyFont="1"/>
    <xf numFmtId="164" fontId="13" fillId="0" borderId="0" xfId="2" applyNumberFormat="1" applyFont="1"/>
  </cellXfs>
  <cellStyles count="4">
    <cellStyle name="Normal" xfId="0" builtinId="0"/>
    <cellStyle name="Normal 8" xfId="2" xr:uid="{E9501928-0803-4EFE-A2B4-5CE24CA45907}"/>
    <cellStyle name="Normal 9" xfId="1" xr:uid="{FC64B1D6-D9B6-48D3-A8E5-0CFE90FBDD0F}"/>
    <cellStyle name="Percent 2" xfId="3" xr:uid="{46ED1A23-85AB-4807-88C8-2A83FDFBE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 vs</a:t>
            </a:r>
            <a:r>
              <a:rPr lang="en-US" baseline="0"/>
              <a:t> GOR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'2-Composition_Table_PVT'!$C$1:$W$1</c:f>
              <c:numCache>
                <c:formatCode>General</c:formatCode>
                <c:ptCount val="21"/>
                <c:pt idx="8" formatCode="0">
                  <c:v>417.4</c:v>
                </c:pt>
                <c:pt idx="9" formatCode="0">
                  <c:v>442</c:v>
                </c:pt>
                <c:pt idx="10" formatCode="0">
                  <c:v>490.9</c:v>
                </c:pt>
                <c:pt idx="11" formatCode="0">
                  <c:v>588.29999999999995</c:v>
                </c:pt>
                <c:pt idx="12" formatCode="0">
                  <c:v>686.1</c:v>
                </c:pt>
                <c:pt idx="13" formatCode="0">
                  <c:v>784.4</c:v>
                </c:pt>
                <c:pt idx="14" formatCode="0">
                  <c:v>883.3</c:v>
                </c:pt>
                <c:pt idx="15" formatCode="0">
                  <c:v>1129.0999999999999</c:v>
                </c:pt>
                <c:pt idx="16" formatCode="0">
                  <c:v>1378.8</c:v>
                </c:pt>
                <c:pt idx="17" formatCode="0">
                  <c:v>1874.7</c:v>
                </c:pt>
                <c:pt idx="18" formatCode="0">
                  <c:v>2888.9</c:v>
                </c:pt>
                <c:pt idx="19" formatCode="0">
                  <c:v>5376.5</c:v>
                </c:pt>
                <c:pt idx="20" formatCode="#,##0">
                  <c:v>57730.2</c:v>
                </c:pt>
              </c:numCache>
            </c:numRef>
          </c:xVal>
          <c:yVal>
            <c:numRef>
              <c:f>'2-Composition_Table_PVT'!$C$8:$W$8</c:f>
              <c:numCache>
                <c:formatCode>0.000</c:formatCode>
                <c:ptCount val="21"/>
                <c:pt idx="0">
                  <c:v>0.57537671621584197</c:v>
                </c:pt>
                <c:pt idx="1">
                  <c:v>0.58472475428271398</c:v>
                </c:pt>
                <c:pt idx="2">
                  <c:v>0.60498445439353699</c:v>
                </c:pt>
                <c:pt idx="3">
                  <c:v>0.60590525352804703</c:v>
                </c:pt>
                <c:pt idx="4">
                  <c:v>0.60690242760971003</c:v>
                </c:pt>
                <c:pt idx="5">
                  <c:v>0.60956680774688698</c:v>
                </c:pt>
                <c:pt idx="6">
                  <c:v>0.61217886209487904</c:v>
                </c:pt>
                <c:pt idx="7">
                  <c:v>0.61474025249481201</c:v>
                </c:pt>
                <c:pt idx="8">
                  <c:v>65.082717895507798</c:v>
                </c:pt>
                <c:pt idx="9">
                  <c:v>65.743141174316406</c:v>
                </c:pt>
                <c:pt idx="10">
                  <c:v>66.898880004882798</c:v>
                </c:pt>
                <c:pt idx="11">
                  <c:v>68.715042114257798</c:v>
                </c:pt>
                <c:pt idx="12">
                  <c:v>70.077156066894503</c:v>
                </c:pt>
                <c:pt idx="13">
                  <c:v>71.136589050292898</c:v>
                </c:pt>
                <c:pt idx="14">
                  <c:v>71.984123229980497</c:v>
                </c:pt>
                <c:pt idx="15">
                  <c:v>73.509704589843693</c:v>
                </c:pt>
                <c:pt idx="16">
                  <c:v>74.526748657226506</c:v>
                </c:pt>
                <c:pt idx="17">
                  <c:v>75.798065185546804</c:v>
                </c:pt>
                <c:pt idx="18">
                  <c:v>77.069381713867102</c:v>
                </c:pt>
                <c:pt idx="19">
                  <c:v>78.225112915039105</c:v>
                </c:pt>
                <c:pt idx="20">
                  <c:v>79.460952758789105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B-4A58-BB8E-5B05AA4B5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289944"/>
        <c:axId val="800296064"/>
      </c:scatterChart>
      <c:valAx>
        <c:axId val="800289944"/>
        <c:scaling>
          <c:orientation val="minMax"/>
          <c:max val="800"/>
          <c:min val="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GOR, Sm3/Sm3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96064"/>
        <c:crosses val="autoZero"/>
        <c:crossBetween val="midCat"/>
        <c:majorUnit val="40"/>
      </c:valAx>
      <c:valAx>
        <c:axId val="800296064"/>
        <c:scaling>
          <c:orientation val="minMax"/>
          <c:max val="72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C1, mol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8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400050</xdr:colOff>
      <xdr:row>9</xdr:row>
      <xdr:rowOff>57150</xdr:rowOff>
    </xdr:from>
    <xdr:to>
      <xdr:col>34</xdr:col>
      <xdr:colOff>571500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15988-8EA9-407B-B06B-C312A0CB2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0</xdr:row>
      <xdr:rowOff>0</xdr:rowOff>
    </xdr:from>
    <xdr:to>
      <xdr:col>0</xdr:col>
      <xdr:colOff>1209675</xdr:colOff>
      <xdr:row>1</xdr:row>
      <xdr:rowOff>192484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C37BE409-B7FF-4B6C-9F1F-A0B93F375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869" b="16980"/>
        <a:stretch>
          <a:fillRect/>
        </a:stretch>
      </xdr:blipFill>
      <xdr:spPr>
        <a:xfrm>
          <a:off x="19050" y="85725"/>
          <a:ext cx="1190625" cy="38298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85725</xdr:rowOff>
    </xdr:from>
    <xdr:to>
      <xdr:col>3</xdr:col>
      <xdr:colOff>1014847</xdr:colOff>
      <xdr:row>14</xdr:row>
      <xdr:rowOff>638175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2EFA7-5D16-49D9-8ED6-0CD5B53B9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" y="2990850"/>
          <a:ext cx="623454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76200</xdr:rowOff>
    </xdr:from>
    <xdr:to>
      <xdr:col>0</xdr:col>
      <xdr:colOff>1844040</xdr:colOff>
      <xdr:row>0</xdr:row>
      <xdr:rowOff>614216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1F9D9F08-ECB2-41F8-BB5C-09D601493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869" b="16980"/>
        <a:stretch>
          <a:fillRect/>
        </a:stretch>
      </xdr:blipFill>
      <xdr:spPr>
        <a:xfrm>
          <a:off x="171450" y="76200"/>
          <a:ext cx="1672590" cy="5380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uri\Downloads\MPFM_Calibra&#231;&#227;o_PE-02%2001_03_26%20rev2%20(1).xlsm" TargetMode="External"/><Relationship Id="rId1" Type="http://schemas.openxmlformats.org/officeDocument/2006/relationships/externalLinkPath" Target="MPFM_Calibra&#231;&#227;o_PE-02%2001_03_26%20rev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-Dados_Totalizados_backup"/>
      <sheetName val="1-Registro_Principal"/>
      <sheetName val="PVT_AS_FOUND"/>
      <sheetName val="2-PVT_FC_S320"/>
      <sheetName val="2-Composition_Table_PVT"/>
      <sheetName val="2-Valores Calculados"/>
      <sheetName val="2-Resultados da Simulação"/>
      <sheetName val="3-Dados_Totalizados_01_03"/>
      <sheetName val="Hourly 04-05"/>
      <sheetName val="4-Fator_ReconciliaçãoK"/>
      <sheetName val="5-Pos_Monitoramento"/>
      <sheetName val="5-Pos_Monitoramento (2)"/>
      <sheetName val="5.1 Totalizador_Acomp"/>
      <sheetName val="SEP_OLEO_04&amp;05"/>
      <sheetName val="SEP_GAS_04&amp;05"/>
      <sheetName val="SEP_05_03_GAS"/>
      <sheetName val="SEP_04_03_GAS"/>
      <sheetName val="SEP_04_03_OLEO"/>
      <sheetName val="SEP_AGUA_04&amp;05"/>
      <sheetName val="SEP_05_03_OLEO"/>
      <sheetName val="SEP_05_03_AGUA"/>
      <sheetName val="SEP_04_03_AGUA"/>
      <sheetName val="SEP_01_03_OLEO"/>
      <sheetName val="SEP_01_03_GAS"/>
      <sheetName val="SEP_01_03_AGUA"/>
      <sheetName val="MPFM_Horario_01_03"/>
      <sheetName val="6-Alarmes_Eventos"/>
      <sheetName val="Eventos_Monitorament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K3">
            <v>417.4</v>
          </cell>
          <cell r="L3">
            <v>442</v>
          </cell>
          <cell r="M3">
            <v>490.9</v>
          </cell>
          <cell r="N3">
            <v>588.29999999999995</v>
          </cell>
          <cell r="O3">
            <v>686.1</v>
          </cell>
          <cell r="P3">
            <v>784.4</v>
          </cell>
          <cell r="Q3">
            <v>883.3</v>
          </cell>
          <cell r="R3">
            <v>1129.0999999999999</v>
          </cell>
          <cell r="S3">
            <v>1378.8</v>
          </cell>
          <cell r="T3">
            <v>1874.7</v>
          </cell>
          <cell r="U3">
            <v>2888.9</v>
          </cell>
          <cell r="V3">
            <v>5376.5</v>
          </cell>
          <cell r="W3">
            <v>57730.2</v>
          </cell>
        </row>
        <row r="10">
          <cell r="C10">
            <v>0.57537671621584197</v>
          </cell>
          <cell r="D10">
            <v>0.58472475428271398</v>
          </cell>
          <cell r="E10">
            <v>0.60498445439353699</v>
          </cell>
          <cell r="F10">
            <v>0.60590525352804703</v>
          </cell>
          <cell r="G10">
            <v>0.60690242760971003</v>
          </cell>
          <cell r="H10">
            <v>0.60956680774688698</v>
          </cell>
          <cell r="I10">
            <v>0.61217886209487904</v>
          </cell>
          <cell r="J10">
            <v>0.61474025249481201</v>
          </cell>
          <cell r="K10">
            <v>65.082717895507798</v>
          </cell>
          <cell r="L10">
            <v>65.743141174316406</v>
          </cell>
          <cell r="M10">
            <v>66.898880004882798</v>
          </cell>
          <cell r="N10">
            <v>68.715042114257798</v>
          </cell>
          <cell r="O10">
            <v>70.077156066894503</v>
          </cell>
          <cell r="P10">
            <v>71.136589050292898</v>
          </cell>
          <cell r="Q10">
            <v>71.984123229980497</v>
          </cell>
          <cell r="R10">
            <v>73.509704589843693</v>
          </cell>
          <cell r="S10">
            <v>74.526748657226506</v>
          </cell>
          <cell r="T10">
            <v>75.798065185546804</v>
          </cell>
          <cell r="U10">
            <v>77.069381713867102</v>
          </cell>
          <cell r="V10">
            <v>78.225112915039105</v>
          </cell>
          <cell r="W10">
            <v>79.460952758789105</v>
          </cell>
        </row>
      </sheetData>
      <sheetData sheetId="5"/>
      <sheetData sheetId="6">
        <row r="61">
          <cell r="B61">
            <v>5369</v>
          </cell>
          <cell r="C61">
            <v>1116.7669149212859</v>
          </cell>
          <cell r="D61">
            <v>4252.2330850787139</v>
          </cell>
          <cell r="Y61">
            <v>1373.9662695105294</v>
          </cell>
          <cell r="Z61">
            <v>3995.0337304894706</v>
          </cell>
        </row>
        <row r="62">
          <cell r="Y62">
            <v>1596.8661546183664</v>
          </cell>
        </row>
        <row r="63">
          <cell r="D63">
            <v>5.3545054324012096</v>
          </cell>
          <cell r="Z63">
            <v>4.65261782829542</v>
          </cell>
        </row>
        <row r="69">
          <cell r="D69">
            <v>0.79414114688306781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636F-683F-48A1-94BE-9178DEE63E75}">
  <sheetPr>
    <tabColor theme="6"/>
  </sheetPr>
  <dimension ref="B1:W37"/>
  <sheetViews>
    <sheetView tabSelected="1" zoomScaleNormal="100" workbookViewId="0">
      <selection activeCell="A2" sqref="A1:XFD2"/>
    </sheetView>
  </sheetViews>
  <sheetFormatPr defaultColWidth="9.140625" defaultRowHeight="15" x14ac:dyDescent="0.25"/>
  <cols>
    <col min="1" max="1" width="19" style="3" customWidth="1"/>
    <col min="2" max="2" width="33" style="3" customWidth="1"/>
    <col min="3" max="19" width="9.140625" style="3"/>
    <col min="20" max="20" width="10.28515625" style="3" customWidth="1"/>
    <col min="21" max="21" width="11.42578125" style="3" customWidth="1"/>
    <col min="22" max="22" width="11.28515625" style="3" customWidth="1"/>
    <col min="23" max="23" width="11.140625" style="3" customWidth="1"/>
    <col min="24" max="16384" width="9.140625" style="3"/>
  </cols>
  <sheetData>
    <row r="1" spans="2:23" x14ac:dyDescent="0.25">
      <c r="K1" s="5">
        <v>417.4</v>
      </c>
      <c r="L1" s="5">
        <v>442</v>
      </c>
      <c r="M1" s="5">
        <v>490.9</v>
      </c>
      <c r="N1" s="5">
        <v>588.29999999999995</v>
      </c>
      <c r="O1" s="5">
        <v>686.1</v>
      </c>
      <c r="P1" s="5">
        <v>784.4</v>
      </c>
      <c r="Q1" s="5">
        <v>883.3</v>
      </c>
      <c r="R1" s="5">
        <v>1129.0999999999999</v>
      </c>
      <c r="S1" s="5">
        <v>1378.8</v>
      </c>
      <c r="T1" s="5">
        <v>1874.7</v>
      </c>
      <c r="U1" s="5">
        <v>2888.9</v>
      </c>
      <c r="V1" s="5">
        <v>5376.5</v>
      </c>
      <c r="W1" s="6">
        <v>57730.2</v>
      </c>
    </row>
    <row r="2" spans="2:23" ht="90.75" thickBot="1" x14ac:dyDescent="0.3">
      <c r="D2" s="7" t="s">
        <v>2</v>
      </c>
      <c r="G2" s="8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ht="45" x14ac:dyDescent="0.25">
      <c r="B3" s="9" t="s">
        <v>4</v>
      </c>
      <c r="C3" s="10">
        <v>336.7</v>
      </c>
      <c r="D3" s="11">
        <v>351.4</v>
      </c>
      <c r="E3" s="12">
        <v>389</v>
      </c>
      <c r="F3" s="12">
        <v>391</v>
      </c>
      <c r="G3" s="13">
        <v>392.9</v>
      </c>
      <c r="H3" s="12">
        <v>398</v>
      </c>
      <c r="I3" s="12">
        <v>402.7</v>
      </c>
      <c r="J3" s="12">
        <v>407.4</v>
      </c>
      <c r="K3" s="14" t="str">
        <f t="shared" ref="D3:AD5" si="0">"GOR_"&amp;ROUND(K1,0)</f>
        <v>GOR_417</v>
      </c>
      <c r="L3" s="14" t="str">
        <f t="shared" si="0"/>
        <v>GOR_442</v>
      </c>
      <c r="M3" s="14" t="str">
        <f t="shared" si="0"/>
        <v>GOR_491</v>
      </c>
      <c r="N3" s="14" t="str">
        <f t="shared" si="0"/>
        <v>GOR_588</v>
      </c>
      <c r="O3" s="14" t="str">
        <f t="shared" si="0"/>
        <v>GOR_686</v>
      </c>
      <c r="P3" s="14" t="str">
        <f t="shared" si="0"/>
        <v>GOR_784</v>
      </c>
      <c r="Q3" s="14" t="str">
        <f t="shared" si="0"/>
        <v>GOR_883</v>
      </c>
      <c r="R3" s="14" t="str">
        <f t="shared" si="0"/>
        <v>GOR_1129</v>
      </c>
      <c r="S3" s="14" t="str">
        <f t="shared" si="0"/>
        <v>GOR_1379</v>
      </c>
      <c r="T3" s="14" t="str">
        <f t="shared" si="0"/>
        <v>GOR_1875</v>
      </c>
      <c r="U3" s="14" t="str">
        <f t="shared" si="0"/>
        <v>GOR_2889</v>
      </c>
      <c r="V3" s="14" t="str">
        <f t="shared" si="0"/>
        <v>GOR_5377</v>
      </c>
      <c r="W3" s="14" t="str">
        <f t="shared" si="0"/>
        <v>GOR_57730</v>
      </c>
    </row>
    <row r="4" spans="2:23" x14ac:dyDescent="0.25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</row>
    <row r="5" spans="2:23" x14ac:dyDescent="0.25">
      <c r="B5" s="15" t="s">
        <v>5</v>
      </c>
      <c r="C5" s="19" t="str">
        <f>"GOR_"&amp;ROUND(C3,0)</f>
        <v>GOR_337</v>
      </c>
      <c r="D5" s="20" t="str">
        <f t="shared" si="0"/>
        <v>GOR_351</v>
      </c>
      <c r="E5" s="14" t="str">
        <f t="shared" si="0"/>
        <v>GOR_389</v>
      </c>
      <c r="F5" s="14" t="str">
        <f t="shared" si="0"/>
        <v>GOR_391</v>
      </c>
      <c r="G5" s="13" t="str">
        <f t="shared" si="0"/>
        <v>GOR_393</v>
      </c>
      <c r="H5" s="14" t="str">
        <f t="shared" si="0"/>
        <v>GOR_398</v>
      </c>
      <c r="I5" s="14" t="str">
        <f t="shared" si="0"/>
        <v>GOR_403</v>
      </c>
      <c r="J5" s="14" t="str">
        <f t="shared" si="0"/>
        <v>GOR_407</v>
      </c>
      <c r="K5" s="21" t="s">
        <v>6</v>
      </c>
      <c r="L5" s="21" t="s">
        <v>6</v>
      </c>
      <c r="M5" s="21" t="s">
        <v>6</v>
      </c>
      <c r="N5" s="21" t="s">
        <v>6</v>
      </c>
      <c r="O5" s="21" t="s">
        <v>6</v>
      </c>
      <c r="P5" s="21" t="s">
        <v>6</v>
      </c>
      <c r="Q5" s="21" t="s">
        <v>6</v>
      </c>
      <c r="R5" s="21" t="s">
        <v>6</v>
      </c>
      <c r="S5" s="21" t="s">
        <v>6</v>
      </c>
      <c r="T5" s="21" t="s">
        <v>6</v>
      </c>
      <c r="U5" s="21" t="s">
        <v>6</v>
      </c>
      <c r="V5" s="21" t="s">
        <v>6</v>
      </c>
      <c r="W5" s="21" t="s">
        <v>6</v>
      </c>
    </row>
    <row r="6" spans="2:23" x14ac:dyDescent="0.25">
      <c r="B6" s="22"/>
      <c r="C6" s="23"/>
      <c r="D6" s="24"/>
      <c r="E6" s="21"/>
      <c r="F6" s="21"/>
      <c r="G6" s="25"/>
      <c r="H6" s="21"/>
      <c r="I6" s="21"/>
      <c r="J6" s="21"/>
      <c r="K6" s="26">
        <v>0.61971664428710904</v>
      </c>
      <c r="L6" s="26">
        <v>0.63136589527130105</v>
      </c>
      <c r="M6" s="26">
        <v>0.65175205469131403</v>
      </c>
      <c r="N6" s="26">
        <v>0.68378746509552002</v>
      </c>
      <c r="O6" s="26">
        <v>0.70781397819518999</v>
      </c>
      <c r="P6" s="26">
        <v>0.72650134563446001</v>
      </c>
      <c r="Q6" s="26">
        <v>0.74145126342773404</v>
      </c>
      <c r="R6" s="26">
        <v>0.76836097240447998</v>
      </c>
      <c r="S6" s="26">
        <v>0.78630077838897705</v>
      </c>
      <c r="T6" s="26">
        <v>0.80872559547424305</v>
      </c>
      <c r="U6" s="26">
        <v>0.83115035295486395</v>
      </c>
      <c r="V6" s="26">
        <v>0.85153651237487804</v>
      </c>
      <c r="W6" s="26">
        <v>0.87333565950393699</v>
      </c>
    </row>
    <row r="7" spans="2:23" x14ac:dyDescent="0.25">
      <c r="B7" s="22" t="s">
        <v>7</v>
      </c>
      <c r="C7" s="23" t="s">
        <v>6</v>
      </c>
      <c r="D7" s="24" t="s">
        <v>6</v>
      </c>
      <c r="E7" s="21" t="s">
        <v>6</v>
      </c>
      <c r="F7" s="21" t="s">
        <v>6</v>
      </c>
      <c r="G7" s="25" t="s">
        <v>6</v>
      </c>
      <c r="H7" s="21" t="s">
        <v>6</v>
      </c>
      <c r="I7" s="21" t="s">
        <v>6</v>
      </c>
      <c r="J7" s="21" t="s">
        <v>6</v>
      </c>
      <c r="K7" s="26">
        <v>2.3095313459634701E-2</v>
      </c>
      <c r="L7" s="26">
        <v>2.6000073179602599E-2</v>
      </c>
      <c r="M7" s="26">
        <v>3.1083399429917301E-2</v>
      </c>
      <c r="N7" s="26">
        <v>3.9071485400199897E-2</v>
      </c>
      <c r="O7" s="26">
        <v>4.5062549412250498E-2</v>
      </c>
      <c r="P7" s="26">
        <v>4.9722265452146502E-2</v>
      </c>
      <c r="Q7" s="26">
        <v>5.3450040519237497E-2</v>
      </c>
      <c r="R7" s="26">
        <v>6.01600259542465E-2</v>
      </c>
      <c r="S7" s="26">
        <v>6.4633354544639504E-2</v>
      </c>
      <c r="T7" s="26">
        <v>7.0225015282630907E-2</v>
      </c>
      <c r="U7" s="26">
        <v>7.5816676020622198E-2</v>
      </c>
      <c r="V7" s="26">
        <v>8.0900013446807903E-2</v>
      </c>
      <c r="W7" s="26">
        <v>8.6335644125938402E-2</v>
      </c>
    </row>
    <row r="8" spans="2:23" x14ac:dyDescent="0.25">
      <c r="B8" s="22" t="s">
        <v>8</v>
      </c>
      <c r="C8" s="27">
        <v>0.57537671621584197</v>
      </c>
      <c r="D8" s="28">
        <v>0.58472475428271398</v>
      </c>
      <c r="E8" s="26">
        <v>0.60498445439353699</v>
      </c>
      <c r="F8" s="26">
        <v>0.60590525352804703</v>
      </c>
      <c r="G8" s="29">
        <v>0.60690242760971003</v>
      </c>
      <c r="H8" s="26">
        <v>0.60956680774688698</v>
      </c>
      <c r="I8" s="26">
        <v>0.61217886209487904</v>
      </c>
      <c r="J8" s="26">
        <v>0.61474025249481201</v>
      </c>
      <c r="K8" s="26">
        <v>65.082717895507798</v>
      </c>
      <c r="L8" s="26">
        <v>65.743141174316406</v>
      </c>
      <c r="M8" s="26">
        <v>66.898880004882798</v>
      </c>
      <c r="N8" s="26">
        <v>68.715042114257798</v>
      </c>
      <c r="O8" s="26">
        <v>70.077156066894503</v>
      </c>
      <c r="P8" s="26">
        <v>71.136589050292898</v>
      </c>
      <c r="Q8" s="26">
        <v>71.984123229980497</v>
      </c>
      <c r="R8" s="26">
        <v>73.509704589843693</v>
      </c>
      <c r="S8" s="26">
        <v>74.526748657226506</v>
      </c>
      <c r="T8" s="26">
        <v>75.798065185546804</v>
      </c>
      <c r="U8" s="26">
        <v>77.069381713867102</v>
      </c>
      <c r="V8" s="26">
        <v>78.225112915039105</v>
      </c>
      <c r="W8" s="26">
        <v>79.460952758789105</v>
      </c>
    </row>
    <row r="9" spans="2:23" x14ac:dyDescent="0.25">
      <c r="B9" s="22" t="s">
        <v>9</v>
      </c>
      <c r="C9" s="27">
        <v>1.9796578272108002E-2</v>
      </c>
      <c r="D9" s="28">
        <v>1.9829391152076801E-2</v>
      </c>
      <c r="E9" s="26">
        <v>1.98943094235732E-2</v>
      </c>
      <c r="F9" s="26">
        <v>1.9897086927840101E-2</v>
      </c>
      <c r="G9" s="29">
        <v>1.99000796003184E-2</v>
      </c>
      <c r="H9" s="26">
        <v>2.05644350498915E-2</v>
      </c>
      <c r="I9" s="26">
        <v>2.1215764805674601E-2</v>
      </c>
      <c r="J9" s="26">
        <v>2.18544453382492E-2</v>
      </c>
      <c r="K9" s="26">
        <v>8.2488422393798793</v>
      </c>
      <c r="L9" s="26">
        <v>8.3226661682128906</v>
      </c>
      <c r="M9" s="26">
        <v>8.4518613815307599</v>
      </c>
      <c r="N9" s="26">
        <v>8.6548814773559606</v>
      </c>
      <c r="O9" s="26">
        <v>8.80714607238769</v>
      </c>
      <c r="P9" s="26">
        <v>8.9255743026733398</v>
      </c>
      <c r="Q9" s="26">
        <v>9.0203170776367205</v>
      </c>
      <c r="R9" s="26">
        <v>9.1908540725708008</v>
      </c>
      <c r="S9" s="26">
        <v>9.3045454025268501</v>
      </c>
      <c r="T9" s="26">
        <v>9.4466590881347603</v>
      </c>
      <c r="U9" s="26">
        <v>9.5887727737426705</v>
      </c>
      <c r="V9" s="26">
        <v>9.7179670333862305</v>
      </c>
      <c r="W9" s="26">
        <v>9.8561153411865199</v>
      </c>
    </row>
    <row r="10" spans="2:23" x14ac:dyDescent="0.25">
      <c r="B10" s="22" t="s">
        <v>10</v>
      </c>
      <c r="C10" s="27">
        <v>62.182931696514402</v>
      </c>
      <c r="D10" s="28">
        <v>62.8206169453466</v>
      </c>
      <c r="E10" s="26">
        <v>64.221806435079799</v>
      </c>
      <c r="F10" s="26">
        <v>64.286308552287906</v>
      </c>
      <c r="G10" s="29">
        <v>64.356257425029696</v>
      </c>
      <c r="H10" s="26">
        <v>64.507308959960895</v>
      </c>
      <c r="I10" s="26">
        <v>64.655387878417997</v>
      </c>
      <c r="J10" s="26">
        <v>64.800598144531193</v>
      </c>
      <c r="K10" s="26">
        <v>5.0196380615234304</v>
      </c>
      <c r="L10" s="26">
        <v>5.0700178146362296</v>
      </c>
      <c r="M10" s="26">
        <v>5.1581835746765101</v>
      </c>
      <c r="N10" s="26">
        <v>5.2967286109924299</v>
      </c>
      <c r="O10" s="26">
        <v>5.4006376266479403</v>
      </c>
      <c r="P10" s="26">
        <v>5.4814553260803196</v>
      </c>
      <c r="Q10" s="26">
        <v>5.5461106300354004</v>
      </c>
      <c r="R10" s="26">
        <v>5.6624879837036097</v>
      </c>
      <c r="S10" s="26">
        <v>5.7400727272033603</v>
      </c>
      <c r="T10" s="26">
        <v>5.8370547294616699</v>
      </c>
      <c r="U10" s="26">
        <v>5.9340362548828098</v>
      </c>
      <c r="V10" s="26">
        <v>6.0222015380859402</v>
      </c>
      <c r="W10" s="26">
        <v>6.11647701263428</v>
      </c>
    </row>
    <row r="11" spans="2:23" x14ac:dyDescent="0.25">
      <c r="B11" s="22" t="s">
        <v>11</v>
      </c>
      <c r="C11" s="27">
        <v>8.0688745919070008</v>
      </c>
      <c r="D11" s="28">
        <v>8.0955274751683302</v>
      </c>
      <c r="E11" s="26">
        <v>8.1608198077787097</v>
      </c>
      <c r="F11" s="26">
        <v>8.1640757204254797</v>
      </c>
      <c r="G11" s="29">
        <v>8.1676326705306792</v>
      </c>
      <c r="H11" s="26">
        <v>8.1845178604125994</v>
      </c>
      <c r="I11" s="26">
        <v>8.2010717391967791</v>
      </c>
      <c r="J11" s="26">
        <v>8.2173051834106392</v>
      </c>
      <c r="K11" s="26">
        <v>1.03128957748413</v>
      </c>
      <c r="L11" s="26">
        <v>1.02827656269073</v>
      </c>
      <c r="M11" s="26">
        <v>1.02300357818603</v>
      </c>
      <c r="N11" s="26">
        <v>1.0147173404693599</v>
      </c>
      <c r="O11" s="26">
        <v>1.0085026025771999</v>
      </c>
      <c r="P11" s="26">
        <v>1.0036689043045</v>
      </c>
      <c r="Q11" s="26">
        <v>0.99980205297470104</v>
      </c>
      <c r="R11" s="26">
        <v>0.99284166097640902</v>
      </c>
      <c r="S11" s="26">
        <v>0.98820132017135598</v>
      </c>
      <c r="T11" s="26">
        <v>0.98240095376968295</v>
      </c>
      <c r="U11" s="26">
        <v>0.97660058736801103</v>
      </c>
      <c r="V11" s="26">
        <v>0.97132760286331199</v>
      </c>
      <c r="W11" s="26">
        <v>0.96568912267684903</v>
      </c>
    </row>
    <row r="12" spans="2:23" x14ac:dyDescent="0.25">
      <c r="B12" s="22" t="s">
        <v>12</v>
      </c>
      <c r="C12" s="27">
        <v>5.0474179959508598</v>
      </c>
      <c r="D12" s="28">
        <v>5.0212471857653904</v>
      </c>
      <c r="E12" s="26">
        <v>4.9688210232084504</v>
      </c>
      <c r="F12" s="26">
        <v>4.9666034418025902</v>
      </c>
      <c r="G12" s="29">
        <v>4.9642198568794296</v>
      </c>
      <c r="H12" s="26">
        <v>4.9757423400878897</v>
      </c>
      <c r="I12" s="26">
        <v>4.98703908920288</v>
      </c>
      <c r="J12" s="26">
        <v>4.9981169700622496</v>
      </c>
      <c r="K12" s="26">
        <v>1.77681636810302</v>
      </c>
      <c r="L12" s="26">
        <v>1.76418828964233</v>
      </c>
      <c r="M12" s="26">
        <v>1.7420893907546899</v>
      </c>
      <c r="N12" s="26">
        <v>1.7073621749877901</v>
      </c>
      <c r="O12" s="26">
        <v>1.6813169717788601</v>
      </c>
      <c r="P12" s="26">
        <v>1.6610594987869201</v>
      </c>
      <c r="Q12" s="26">
        <v>1.64485347270966</v>
      </c>
      <c r="R12" s="26">
        <v>1.61568284034729</v>
      </c>
      <c r="S12" s="26">
        <v>1.59623563289642</v>
      </c>
      <c r="T12" s="26">
        <v>1.57192683219909</v>
      </c>
      <c r="U12" s="26">
        <v>1.54761779308319</v>
      </c>
      <c r="V12" s="26">
        <v>1.52551889419556</v>
      </c>
      <c r="W12" s="26">
        <v>1.5018882751464799</v>
      </c>
    </row>
    <row r="13" spans="2:23" x14ac:dyDescent="0.25">
      <c r="B13" s="22" t="s">
        <v>13</v>
      </c>
      <c r="C13" s="27">
        <v>1.06855215542051</v>
      </c>
      <c r="D13" s="28">
        <v>1.0582655339207001</v>
      </c>
      <c r="E13" s="26">
        <v>1.03660383431433</v>
      </c>
      <c r="F13" s="26">
        <v>1.0356426283220399</v>
      </c>
      <c r="G13" s="29">
        <v>1.0346041384165501</v>
      </c>
      <c r="H13" s="26">
        <v>1.0339150428771999</v>
      </c>
      <c r="I13" s="26">
        <v>1.0332393646240201</v>
      </c>
      <c r="J13" s="26">
        <v>1.03257691860198</v>
      </c>
      <c r="K13" s="26">
        <v>0.63505011796951205</v>
      </c>
      <c r="L13" s="26">
        <v>0.624547779560089</v>
      </c>
      <c r="M13" s="26">
        <v>0.60616886615753096</v>
      </c>
      <c r="N13" s="26">
        <v>0.57728755474090598</v>
      </c>
      <c r="O13" s="26">
        <v>0.55562663078308105</v>
      </c>
      <c r="P13" s="26">
        <v>0.53877919912338201</v>
      </c>
      <c r="Q13" s="26">
        <v>0.52530133724212602</v>
      </c>
      <c r="R13" s="26">
        <v>0.50104099512100198</v>
      </c>
      <c r="S13" s="26">
        <v>0.484867483377456</v>
      </c>
      <c r="T13" s="26">
        <v>0.46465066075325001</v>
      </c>
      <c r="U13" s="26">
        <v>0.44443374872207603</v>
      </c>
      <c r="V13" s="26">
        <v>0.42605480551719699</v>
      </c>
      <c r="W13" s="26">
        <v>0.40640199184417702</v>
      </c>
    </row>
    <row r="14" spans="2:23" x14ac:dyDescent="0.25">
      <c r="B14" s="22" t="s">
        <v>14</v>
      </c>
      <c r="C14" s="27">
        <v>1.8576489731824599</v>
      </c>
      <c r="D14" s="28">
        <v>1.8373629583844</v>
      </c>
      <c r="E14" s="26">
        <v>1.7946514079489799</v>
      </c>
      <c r="F14" s="26">
        <v>1.7927554924887801</v>
      </c>
      <c r="G14" s="29">
        <v>1.7907071628286499</v>
      </c>
      <c r="H14" s="26">
        <v>1.78781890869141</v>
      </c>
      <c r="I14" s="26">
        <v>1.7849873304367101</v>
      </c>
      <c r="J14" s="26">
        <v>1.78221094608306</v>
      </c>
      <c r="K14" s="26">
        <v>0.728526651859283</v>
      </c>
      <c r="L14" s="26">
        <v>0.71254819631576505</v>
      </c>
      <c r="M14" s="26">
        <v>0.68458586931228604</v>
      </c>
      <c r="N14" s="26">
        <v>0.64064502716064498</v>
      </c>
      <c r="O14" s="26">
        <v>0.60768938064575195</v>
      </c>
      <c r="P14" s="26">
        <v>0.58205717802047696</v>
      </c>
      <c r="Q14" s="26">
        <v>0.56155151128768899</v>
      </c>
      <c r="R14" s="26">
        <v>0.52464121580123901</v>
      </c>
      <c r="S14" s="26">
        <v>0.50003433227538996</v>
      </c>
      <c r="T14" s="26">
        <v>0.469275742769241</v>
      </c>
      <c r="U14" s="26">
        <v>0.43851715326309199</v>
      </c>
      <c r="V14" s="26">
        <v>0.41055482625961298</v>
      </c>
      <c r="W14" s="26">
        <v>0.38065448403358498</v>
      </c>
    </row>
    <row r="15" spans="2:23" x14ac:dyDescent="0.25">
      <c r="B15" s="22" t="s">
        <v>15</v>
      </c>
      <c r="C15" s="27">
        <v>0.68094708091570799</v>
      </c>
      <c r="D15" s="28">
        <v>0.67067739632563295</v>
      </c>
      <c r="E15" s="26">
        <v>0.64866888768878095</v>
      </c>
      <c r="F15" s="26">
        <v>0.64767650468664495</v>
      </c>
      <c r="G15" s="29">
        <v>0.64660258641034596</v>
      </c>
      <c r="H15" s="26">
        <v>0.64420056343078602</v>
      </c>
      <c r="I15" s="26">
        <v>0.641845703125</v>
      </c>
      <c r="J15" s="26">
        <v>0.63953649997711104</v>
      </c>
      <c r="K15" s="26">
        <v>0.99671816825866699</v>
      </c>
      <c r="L15" s="26">
        <v>0.95954918861389105</v>
      </c>
      <c r="M15" s="26">
        <v>0.894503474235534</v>
      </c>
      <c r="N15" s="26">
        <v>0.79228860139846802</v>
      </c>
      <c r="O15" s="26">
        <v>0.71562755107879605</v>
      </c>
      <c r="P15" s="26">
        <v>0.65600222349166804</v>
      </c>
      <c r="Q15" s="26">
        <v>0.60830205678939797</v>
      </c>
      <c r="R15" s="26">
        <v>0.522441625595092</v>
      </c>
      <c r="S15" s="26">
        <v>0.46520134806632901</v>
      </c>
      <c r="T15" s="26">
        <v>0.39365100860595698</v>
      </c>
      <c r="U15" s="26">
        <v>0.322100669145584</v>
      </c>
      <c r="V15" s="26">
        <v>0.25705492496490501</v>
      </c>
      <c r="W15" s="26">
        <v>0.18750102818012199</v>
      </c>
    </row>
    <row r="16" spans="2:23" x14ac:dyDescent="0.25">
      <c r="B16" s="22" t="s">
        <v>16</v>
      </c>
      <c r="C16" s="27">
        <v>0.78837192648593901</v>
      </c>
      <c r="D16" s="28">
        <v>0.77574337983270203</v>
      </c>
      <c r="E16" s="26">
        <v>0.74864959395590303</v>
      </c>
      <c r="F16" s="26">
        <v>0.74742661698598001</v>
      </c>
      <c r="G16" s="29">
        <v>0.74610298441193801</v>
      </c>
      <c r="H16" s="26">
        <v>0.74244850873947099</v>
      </c>
      <c r="I16" s="26">
        <v>0.73886567354202304</v>
      </c>
      <c r="J16" s="26">
        <v>0.73535239696502597</v>
      </c>
      <c r="K16" s="26">
        <v>1.0182898044586099</v>
      </c>
      <c r="L16" s="26">
        <v>0.97200393676757801</v>
      </c>
      <c r="M16" s="26">
        <v>0.89100366830825795</v>
      </c>
      <c r="N16" s="26">
        <v>0.76371741294860795</v>
      </c>
      <c r="O16" s="26">
        <v>0.66825270652770996</v>
      </c>
      <c r="P16" s="26">
        <v>0.594002366065979</v>
      </c>
      <c r="Q16" s="26">
        <v>0.53460216522216797</v>
      </c>
      <c r="R16" s="26">
        <v>0.42768171429634</v>
      </c>
      <c r="S16" s="26">
        <v>0.35640144348144498</v>
      </c>
      <c r="T16" s="26">
        <v>0.26730108261108398</v>
      </c>
      <c r="U16" s="26">
        <v>0.17820072174072199</v>
      </c>
      <c r="V16" s="26">
        <v>9.7200393676757799E-2</v>
      </c>
      <c r="W16" s="26">
        <v>1.0586181655526199E-2</v>
      </c>
    </row>
    <row r="17" spans="2:23" x14ac:dyDescent="0.25">
      <c r="B17" s="22" t="s">
        <v>17</v>
      </c>
      <c r="C17" s="27">
        <v>1.1116361551479901</v>
      </c>
      <c r="D17" s="28">
        <v>1.0896389322962401</v>
      </c>
      <c r="E17" s="26">
        <v>1.0421017500933401</v>
      </c>
      <c r="F17" s="26">
        <v>1.03994252248732</v>
      </c>
      <c r="G17" s="29">
        <v>1.0376041504166</v>
      </c>
      <c r="H17" s="26">
        <v>1.02910304069519</v>
      </c>
      <c r="I17" s="26">
        <v>1.02076864242554</v>
      </c>
      <c r="J17" s="26">
        <v>1.01259624958038</v>
      </c>
      <c r="K17" s="26">
        <v>1.4666725397109901</v>
      </c>
      <c r="L17" s="26">
        <v>1.4000055789947501</v>
      </c>
      <c r="M17" s="26">
        <v>1.2833385467529199</v>
      </c>
      <c r="N17" s="26">
        <v>1.10000443458557</v>
      </c>
      <c r="O17" s="26">
        <v>0.96250391006469704</v>
      </c>
      <c r="P17" s="26">
        <v>0.85555899143218905</v>
      </c>
      <c r="Q17" s="26">
        <v>0.77000313997268699</v>
      </c>
      <c r="R17" s="26">
        <v>0.61600250005722001</v>
      </c>
      <c r="S17" s="26">
        <v>0.51333540678024203</v>
      </c>
      <c r="T17" s="26">
        <v>0.385001569986343</v>
      </c>
      <c r="U17" s="26">
        <v>0.25666770339012102</v>
      </c>
      <c r="V17" s="26">
        <v>0.14000058174133301</v>
      </c>
      <c r="W17" s="26">
        <v>1.5247587114572501E-2</v>
      </c>
    </row>
    <row r="18" spans="2:23" x14ac:dyDescent="0.25">
      <c r="B18" s="22" t="s">
        <v>18</v>
      </c>
      <c r="C18" s="27">
        <v>1.1384811109963999</v>
      </c>
      <c r="D18" s="28">
        <v>1.11739850819083</v>
      </c>
      <c r="E18" s="26">
        <v>1.0732669985979899</v>
      </c>
      <c r="F18" s="26">
        <v>1.0713139972431001</v>
      </c>
      <c r="G18" s="29">
        <v>1.0692042768171099</v>
      </c>
      <c r="H18" s="26">
        <v>1.0586181879043599</v>
      </c>
      <c r="I18" s="26">
        <v>1.0482394695282</v>
      </c>
      <c r="J18" s="26">
        <v>1.0380624532699501</v>
      </c>
      <c r="K18" s="26">
        <v>1.29057657718658</v>
      </c>
      <c r="L18" s="26">
        <v>1.2319140434265099</v>
      </c>
      <c r="M18" s="26">
        <v>1.1292545795440601</v>
      </c>
      <c r="N18" s="26">
        <v>0.96793246269226096</v>
      </c>
      <c r="O18" s="26">
        <v>0.84694093465804998</v>
      </c>
      <c r="P18" s="26">
        <v>0.75283634662628096</v>
      </c>
      <c r="Q18" s="26">
        <v>0.67755275964736905</v>
      </c>
      <c r="R18" s="26">
        <v>0.542042195796966</v>
      </c>
      <c r="S18" s="26">
        <v>0.451701790094375</v>
      </c>
      <c r="T18" s="26">
        <v>0.33877635002136203</v>
      </c>
      <c r="U18" s="26">
        <v>0.225850895047187</v>
      </c>
      <c r="V18" s="26">
        <v>0.12319141626358</v>
      </c>
      <c r="W18" s="26">
        <v>1.34168863296509E-2</v>
      </c>
    </row>
    <row r="19" spans="2:23" x14ac:dyDescent="0.25">
      <c r="B19" s="22" t="s">
        <v>19</v>
      </c>
      <c r="C19" s="27">
        <v>1.6567837716348499</v>
      </c>
      <c r="D19" s="28">
        <v>1.6214911123273299</v>
      </c>
      <c r="E19" s="26">
        <v>1.5469280799637599</v>
      </c>
      <c r="F19" s="26">
        <v>1.5436019820531199</v>
      </c>
      <c r="G19" s="29">
        <v>1.54000616002464</v>
      </c>
      <c r="H19" s="26">
        <v>1.5247585773468</v>
      </c>
      <c r="I19" s="26">
        <v>1.50980997085571</v>
      </c>
      <c r="J19" s="26">
        <v>1.49515163898468</v>
      </c>
      <c r="K19" s="26">
        <v>12.062048554420429</v>
      </c>
      <c r="L19" s="26">
        <v>11.513773441314653</v>
      </c>
      <c r="M19" s="26">
        <v>10.554292857646919</v>
      </c>
      <c r="N19" s="26">
        <v>9.0465364456176758</v>
      </c>
      <c r="O19" s="26">
        <v>7.9157194495200889</v>
      </c>
      <c r="P19" s="26">
        <v>7.0361950397491393</v>
      </c>
      <c r="Q19" s="26">
        <v>6.3325756788253837</v>
      </c>
      <c r="R19" s="26">
        <v>5.0660604238510096</v>
      </c>
      <c r="S19" s="26">
        <v>4.2217169106006578</v>
      </c>
      <c r="T19" s="26">
        <v>3.1662878096103637</v>
      </c>
      <c r="U19" s="26">
        <v>2.1108584553003262</v>
      </c>
      <c r="V19" s="26">
        <v>1.1513773947954189</v>
      </c>
      <c r="W19" s="26">
        <v>0.12539753690361982</v>
      </c>
    </row>
    <row r="20" spans="2:23" x14ac:dyDescent="0.25">
      <c r="B20" s="22" t="s">
        <v>20</v>
      </c>
      <c r="C20" s="27">
        <v>1.4715489522876299</v>
      </c>
      <c r="D20" s="28">
        <v>1.4365684949310999</v>
      </c>
      <c r="E20" s="26">
        <v>1.3620700397276899</v>
      </c>
      <c r="F20" s="26">
        <v>1.3587245717041401</v>
      </c>
      <c r="G20" s="29">
        <v>1.3551054204216799</v>
      </c>
      <c r="H20" s="26">
        <v>1.3416885137557999</v>
      </c>
      <c r="I20" s="26">
        <v>1.32853472232819</v>
      </c>
      <c r="J20" s="26">
        <v>1.3156363964080799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2:23" x14ac:dyDescent="0.25">
      <c r="B21" s="22" t="s">
        <v>21</v>
      </c>
      <c r="C21" s="27">
        <v>14.331632295068159</v>
      </c>
      <c r="D21" s="28">
        <v>13.85090793207576</v>
      </c>
      <c r="E21" s="26">
        <v>12.77073337782506</v>
      </c>
      <c r="F21" s="26">
        <v>12.720125629056868</v>
      </c>
      <c r="G21" s="29">
        <v>12.665150660602652</v>
      </c>
      <c r="H21" s="26">
        <v>12.539753258228304</v>
      </c>
      <c r="I21" s="26">
        <v>12.416814446449274</v>
      </c>
      <c r="J21" s="26">
        <v>12.296263635158496</v>
      </c>
      <c r="K21" s="26">
        <v>286.54916712306118</v>
      </c>
      <c r="L21" s="26">
        <v>286.54916597124441</v>
      </c>
      <c r="M21" s="26">
        <v>286.54917231025883</v>
      </c>
      <c r="N21" s="26">
        <v>286.5491699088397</v>
      </c>
      <c r="O21" s="26">
        <v>286.54916828345068</v>
      </c>
      <c r="P21" s="26">
        <v>286.54917012880236</v>
      </c>
      <c r="Q21" s="26">
        <v>286.54917065032976</v>
      </c>
      <c r="R21" s="26">
        <v>286.54917014053729</v>
      </c>
      <c r="S21" s="26">
        <v>286.54917004084848</v>
      </c>
      <c r="T21" s="26">
        <v>286.54917144864254</v>
      </c>
      <c r="U21" s="26">
        <v>286.54917004084854</v>
      </c>
      <c r="V21" s="26">
        <v>286.54916778030531</v>
      </c>
      <c r="W21" s="26">
        <v>286.5491703615636</v>
      </c>
    </row>
    <row r="22" spans="2:23" x14ac:dyDescent="0.25">
      <c r="B22" s="22"/>
      <c r="C22" s="23"/>
      <c r="D22" s="24"/>
      <c r="E22" s="21"/>
      <c r="F22" s="21"/>
      <c r="G22" s="25"/>
      <c r="H22" s="21"/>
      <c r="I22" s="21"/>
      <c r="J22" s="21"/>
      <c r="K22" s="30">
        <v>0.88979446250324368</v>
      </c>
      <c r="L22" s="30">
        <v>0.88979446363795212</v>
      </c>
      <c r="M22" s="30">
        <v>0.88979446664290307</v>
      </c>
      <c r="N22" s="30">
        <v>0.88979446439067633</v>
      </c>
      <c r="O22" s="30">
        <v>0.88979446275397556</v>
      </c>
      <c r="P22" s="30">
        <v>0.88979446409950247</v>
      </c>
      <c r="Q22" s="30">
        <v>0.88979446732914347</v>
      </c>
      <c r="R22" s="30">
        <v>0.88979446468769485</v>
      </c>
      <c r="S22" s="30">
        <v>0.88979446438360577</v>
      </c>
      <c r="T22" s="30">
        <v>0.88979446784111804</v>
      </c>
      <c r="U22" s="30">
        <v>0.8897944648306384</v>
      </c>
      <c r="V22" s="30">
        <v>0.8667359009664618</v>
      </c>
      <c r="W22" s="30">
        <v>0.88979446675397533</v>
      </c>
    </row>
    <row r="23" spans="2:23" x14ac:dyDescent="0.25">
      <c r="B23" s="22" t="s">
        <v>22</v>
      </c>
      <c r="C23" s="27">
        <v>289.63963387737891</v>
      </c>
      <c r="D23" s="28">
        <v>288.95881020483768</v>
      </c>
      <c r="E23" s="26">
        <v>286.81342143837708</v>
      </c>
      <c r="F23" s="26">
        <v>286.68811721820799</v>
      </c>
      <c r="G23" s="29">
        <v>286.54916999507799</v>
      </c>
      <c r="H23" s="26">
        <v>286.54917135186446</v>
      </c>
      <c r="I23" s="26">
        <v>286.54916992071077</v>
      </c>
      <c r="J23" s="26">
        <v>286.54917354769412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2:23" x14ac:dyDescent="0.25">
      <c r="B24" s="22" t="s">
        <v>23</v>
      </c>
      <c r="C24" s="31">
        <v>0.89090277827944997</v>
      </c>
      <c r="D24" s="32">
        <v>0.89066262568680077</v>
      </c>
      <c r="E24" s="30">
        <v>0.889890840728498</v>
      </c>
      <c r="F24" s="30">
        <v>0.88984517044092803</v>
      </c>
      <c r="G24" s="33">
        <v>0.88979445958583059</v>
      </c>
      <c r="H24" s="30">
        <v>0.88979446739831003</v>
      </c>
      <c r="I24" s="30">
        <v>0.88979446606872703</v>
      </c>
      <c r="J24" s="30">
        <v>0.88979446808434703</v>
      </c>
      <c r="K24" s="26">
        <v>97.364997863769503</v>
      </c>
      <c r="L24" s="26">
        <v>97.364997863769503</v>
      </c>
      <c r="M24" s="26">
        <v>97.364997863769503</v>
      </c>
      <c r="N24" s="26">
        <v>97.364997863769503</v>
      </c>
      <c r="O24" s="26">
        <v>97.364997863769503</v>
      </c>
      <c r="P24" s="26">
        <v>97.364997863769503</v>
      </c>
      <c r="Q24" s="26">
        <v>97.364997863769503</v>
      </c>
      <c r="R24" s="26">
        <v>97.364997863769503</v>
      </c>
      <c r="S24" s="26">
        <v>97.364997863769503</v>
      </c>
      <c r="T24" s="26">
        <v>97.364997863769503</v>
      </c>
      <c r="U24" s="26">
        <v>97.364997863769503</v>
      </c>
      <c r="V24" s="26">
        <v>97.364997863769503</v>
      </c>
      <c r="W24" s="26">
        <v>97.364997863769503</v>
      </c>
    </row>
    <row r="25" spans="2:23" x14ac:dyDescent="0.25">
      <c r="B25" s="22"/>
      <c r="C25" s="23"/>
      <c r="D25" s="24"/>
      <c r="E25" s="21"/>
      <c r="F25" s="21"/>
      <c r="G25" s="25"/>
      <c r="H25" s="21"/>
      <c r="I25" s="21"/>
      <c r="J25" s="21"/>
      <c r="K25" s="26">
        <v>111.286003112792</v>
      </c>
      <c r="L25" s="26">
        <v>111.286003112792</v>
      </c>
      <c r="M25" s="26">
        <v>111.286003112792</v>
      </c>
      <c r="N25" s="26">
        <v>111.286003112793</v>
      </c>
      <c r="O25" s="26">
        <v>111.286003112792</v>
      </c>
      <c r="P25" s="26">
        <v>111.286003112792</v>
      </c>
      <c r="Q25" s="26">
        <v>111.286003112793</v>
      </c>
      <c r="R25" s="26">
        <v>111.286003112792</v>
      </c>
      <c r="S25" s="26">
        <v>111.286003112792</v>
      </c>
      <c r="T25" s="26">
        <v>111.286003112792</v>
      </c>
      <c r="U25" s="26">
        <v>111.286003112792</v>
      </c>
      <c r="V25" s="26">
        <v>111.286003112793</v>
      </c>
      <c r="W25" s="26">
        <v>111.286003112793</v>
      </c>
    </row>
    <row r="26" spans="2:23" x14ac:dyDescent="0.25">
      <c r="B26" s="22" t="s">
        <v>24</v>
      </c>
      <c r="C26" s="27">
        <v>97.364997863769503</v>
      </c>
      <c r="D26" s="28">
        <v>97.364997863769503</v>
      </c>
      <c r="E26" s="26">
        <v>97.364997863769503</v>
      </c>
      <c r="F26" s="26">
        <v>97.364997863769503</v>
      </c>
      <c r="G26" s="29">
        <v>97.364997863769503</v>
      </c>
      <c r="H26" s="26">
        <v>97.364997863769503</v>
      </c>
      <c r="I26" s="26">
        <v>97.364997863769503</v>
      </c>
      <c r="J26" s="26">
        <v>97.364997863769503</v>
      </c>
      <c r="K26" s="26">
        <v>125.25299835205</v>
      </c>
      <c r="L26" s="26">
        <v>125.25299835205</v>
      </c>
      <c r="M26" s="26">
        <v>125.25299835205</v>
      </c>
      <c r="N26" s="26">
        <v>125.25299835205099</v>
      </c>
      <c r="O26" s="26">
        <v>125.25299835205</v>
      </c>
      <c r="P26" s="26">
        <v>125.25299835205</v>
      </c>
      <c r="Q26" s="26">
        <v>125.25299835205099</v>
      </c>
      <c r="R26" s="26">
        <v>125.25299835205</v>
      </c>
      <c r="S26" s="26">
        <v>125.25299835205</v>
      </c>
      <c r="T26" s="26">
        <v>125.25299835205</v>
      </c>
      <c r="U26" s="26">
        <v>125.25299835205</v>
      </c>
      <c r="V26" s="26">
        <v>125.25299835205099</v>
      </c>
      <c r="W26" s="26">
        <v>125.25299835205099</v>
      </c>
    </row>
    <row r="27" spans="2:23" x14ac:dyDescent="0.25">
      <c r="B27" s="22" t="s">
        <v>25</v>
      </c>
      <c r="C27" s="27">
        <v>111.286003112792</v>
      </c>
      <c r="D27" s="28">
        <v>111.286003112792</v>
      </c>
      <c r="E27" s="26">
        <v>111.286003112792</v>
      </c>
      <c r="F27" s="26">
        <v>111.286003112792</v>
      </c>
      <c r="G27" s="29">
        <v>111.286003112793</v>
      </c>
      <c r="H27" s="26">
        <v>111.286003112793</v>
      </c>
      <c r="I27" s="26">
        <v>111.286003112793</v>
      </c>
      <c r="J27" s="26">
        <v>111.286003112792</v>
      </c>
      <c r="K27" s="26">
        <v>286.54916712306118</v>
      </c>
      <c r="L27" s="26">
        <v>286.54916597124441</v>
      </c>
      <c r="M27" s="26">
        <v>286.54917231025883</v>
      </c>
      <c r="N27" s="26">
        <v>286.5491699088397</v>
      </c>
      <c r="O27" s="26">
        <v>286.54916828345068</v>
      </c>
      <c r="P27" s="26">
        <v>286.54917012880236</v>
      </c>
      <c r="Q27" s="26">
        <v>286.54917065032976</v>
      </c>
      <c r="R27" s="26">
        <v>286.54917014053729</v>
      </c>
      <c r="S27" s="26">
        <v>286.54917004084848</v>
      </c>
      <c r="T27" s="26">
        <v>286.54917144864254</v>
      </c>
      <c r="U27" s="26">
        <v>286.54917004084854</v>
      </c>
      <c r="V27" s="26">
        <v>286.54916778030531</v>
      </c>
      <c r="W27" s="26">
        <v>286.5491703615636</v>
      </c>
    </row>
    <row r="28" spans="2:23" x14ac:dyDescent="0.25">
      <c r="B28" s="22" t="s">
        <v>26</v>
      </c>
      <c r="C28" s="27">
        <v>125.25299835205</v>
      </c>
      <c r="D28" s="28">
        <v>125.25299835205</v>
      </c>
      <c r="E28" s="26">
        <v>125.25299835205</v>
      </c>
      <c r="F28" s="26">
        <v>125.25299835205</v>
      </c>
      <c r="G28" s="29">
        <v>125.25299835205099</v>
      </c>
      <c r="H28" s="26">
        <v>125.25299835205099</v>
      </c>
      <c r="I28" s="26">
        <v>125.25299835205099</v>
      </c>
      <c r="J28" s="26">
        <v>125.25299835205</v>
      </c>
      <c r="K28" s="26">
        <v>748.78710508346501</v>
      </c>
      <c r="L28" s="26">
        <v>748.78710508346501</v>
      </c>
      <c r="M28" s="26">
        <v>748.78710508346501</v>
      </c>
      <c r="N28" s="26">
        <v>748.78710508346603</v>
      </c>
      <c r="O28" s="26">
        <v>748.78710508346501</v>
      </c>
      <c r="P28" s="26">
        <v>748.78710508346501</v>
      </c>
      <c r="Q28" s="26">
        <v>748.78710508346603</v>
      </c>
      <c r="R28" s="26">
        <v>748.78710508346501</v>
      </c>
      <c r="S28" s="26">
        <v>748.78710508346501</v>
      </c>
      <c r="T28" s="26">
        <v>748.78710508346501</v>
      </c>
      <c r="U28" s="26">
        <v>748.78710508346501</v>
      </c>
      <c r="V28" s="26">
        <v>748.78710508346603</v>
      </c>
      <c r="W28" s="26">
        <v>748.78710508346603</v>
      </c>
    </row>
    <row r="29" spans="2:23" x14ac:dyDescent="0.25">
      <c r="B29" s="22" t="s">
        <v>27</v>
      </c>
      <c r="C29" s="27">
        <v>289.63963387737891</v>
      </c>
      <c r="D29" s="28">
        <v>288.95881020483768</v>
      </c>
      <c r="E29" s="26">
        <v>286.81342143837708</v>
      </c>
      <c r="F29" s="26">
        <v>286.68811721820799</v>
      </c>
      <c r="G29" s="29">
        <v>286.54916999507799</v>
      </c>
      <c r="H29" s="26">
        <v>286.54917135186446</v>
      </c>
      <c r="I29" s="26">
        <v>286.54916992071077</v>
      </c>
      <c r="J29" s="26">
        <v>286.54917354769412</v>
      </c>
      <c r="K29" s="26">
        <v>771.40837907791104</v>
      </c>
      <c r="L29" s="26">
        <v>771.40837907791104</v>
      </c>
      <c r="M29" s="26">
        <v>771.40837907791104</v>
      </c>
      <c r="N29" s="26">
        <v>771.40837907791104</v>
      </c>
      <c r="O29" s="26">
        <v>771.40837907791104</v>
      </c>
      <c r="P29" s="26">
        <v>771.40837907791104</v>
      </c>
      <c r="Q29" s="26">
        <v>771.40837907791104</v>
      </c>
      <c r="R29" s="26">
        <v>771.40837907791104</v>
      </c>
      <c r="S29" s="26">
        <v>771.40837907791104</v>
      </c>
      <c r="T29" s="26">
        <v>771.40837907791104</v>
      </c>
      <c r="U29" s="26">
        <v>771.40837907791104</v>
      </c>
      <c r="V29" s="26">
        <v>771.40837907791104</v>
      </c>
      <c r="W29" s="26">
        <v>771.40837907791104</v>
      </c>
    </row>
    <row r="30" spans="2:23" x14ac:dyDescent="0.25">
      <c r="B30" s="22" t="s">
        <v>28</v>
      </c>
      <c r="C30" s="27">
        <v>748.78710508346501</v>
      </c>
      <c r="D30" s="28">
        <v>748.78710508346501</v>
      </c>
      <c r="E30" s="26">
        <v>748.78710508346501</v>
      </c>
      <c r="F30" s="26">
        <v>748.78710508346501</v>
      </c>
      <c r="G30" s="29">
        <v>748.78710508346603</v>
      </c>
      <c r="H30" s="26">
        <v>748.78710508346603</v>
      </c>
      <c r="I30" s="26">
        <v>748.78710508346603</v>
      </c>
      <c r="J30" s="26">
        <v>748.78710508346501</v>
      </c>
      <c r="K30" s="26">
        <v>788.64026069641102</v>
      </c>
      <c r="L30" s="26">
        <v>788.64026069641102</v>
      </c>
      <c r="M30" s="26">
        <v>788.64026069641102</v>
      </c>
      <c r="N30" s="26">
        <v>788.64026069641102</v>
      </c>
      <c r="O30" s="26">
        <v>788.64026069641102</v>
      </c>
      <c r="P30" s="26">
        <v>788.64026069641102</v>
      </c>
      <c r="Q30" s="26">
        <v>788.64026069641102</v>
      </c>
      <c r="R30" s="26">
        <v>788.64026069641102</v>
      </c>
      <c r="S30" s="26">
        <v>788.64026069641102</v>
      </c>
      <c r="T30" s="26">
        <v>788.64026069641102</v>
      </c>
      <c r="U30" s="26">
        <v>788.64026069641102</v>
      </c>
      <c r="V30" s="26">
        <v>788.64026069641102</v>
      </c>
      <c r="W30" s="26">
        <v>788.64026069641102</v>
      </c>
    </row>
    <row r="31" spans="2:23" x14ac:dyDescent="0.25">
      <c r="B31" s="22" t="s">
        <v>29</v>
      </c>
      <c r="C31" s="27">
        <v>771.40837907791104</v>
      </c>
      <c r="D31" s="28">
        <v>771.40837907791104</v>
      </c>
      <c r="E31" s="26">
        <v>771.40837907791104</v>
      </c>
      <c r="F31" s="26">
        <v>771.40837907791104</v>
      </c>
      <c r="G31" s="29">
        <v>771.40837907791104</v>
      </c>
      <c r="H31" s="26">
        <v>771.40837907791104</v>
      </c>
      <c r="I31" s="26">
        <v>771.40837907791104</v>
      </c>
      <c r="J31" s="26">
        <v>771.40837907791104</v>
      </c>
      <c r="K31" s="26">
        <v>889.79446250324372</v>
      </c>
      <c r="L31" s="26">
        <v>889.79446363795216</v>
      </c>
      <c r="M31" s="26">
        <v>889.7944666429031</v>
      </c>
      <c r="N31" s="26">
        <v>889.79446439067635</v>
      </c>
      <c r="O31" s="26">
        <v>889.79446275397561</v>
      </c>
      <c r="P31" s="26">
        <v>889.79446409950242</v>
      </c>
      <c r="Q31" s="26">
        <v>889.79446732914346</v>
      </c>
      <c r="R31" s="26">
        <v>889.79446468769481</v>
      </c>
      <c r="S31" s="26">
        <v>889.79446438360571</v>
      </c>
      <c r="T31" s="26">
        <v>889.79446784111803</v>
      </c>
      <c r="U31" s="26">
        <v>889.79446483063839</v>
      </c>
      <c r="V31" s="26">
        <v>866.73590096646183</v>
      </c>
      <c r="W31" s="26">
        <v>889.79446675397537</v>
      </c>
    </row>
    <row r="32" spans="2:23" x14ac:dyDescent="0.25">
      <c r="B32" s="22" t="s">
        <v>30</v>
      </c>
      <c r="C32" s="27">
        <v>788.64026069641102</v>
      </c>
      <c r="D32" s="28">
        <v>788.64026069641102</v>
      </c>
      <c r="E32" s="26">
        <v>788.64026069641102</v>
      </c>
      <c r="F32" s="26">
        <v>788.64026069641102</v>
      </c>
      <c r="G32" s="29">
        <v>788.64026069641102</v>
      </c>
      <c r="H32" s="26">
        <v>788.64026069641102</v>
      </c>
      <c r="I32" s="26">
        <v>788.64026069641102</v>
      </c>
      <c r="J32" s="26">
        <v>788.64026069641102</v>
      </c>
    </row>
    <row r="33" spans="2:18" ht="15.75" thickBot="1" x14ac:dyDescent="0.3">
      <c r="B33" s="34" t="s">
        <v>31</v>
      </c>
      <c r="C33" s="35">
        <v>890.90277827944999</v>
      </c>
      <c r="D33" s="28">
        <v>890.66262568680077</v>
      </c>
      <c r="E33" s="26">
        <v>889.89084072849835</v>
      </c>
      <c r="F33" s="26">
        <v>889.84517044092809</v>
      </c>
      <c r="G33" s="29">
        <v>889.79445958583062</v>
      </c>
      <c r="H33" s="26">
        <v>889.79446739830996</v>
      </c>
      <c r="I33" s="26">
        <v>889.79446606872682</v>
      </c>
      <c r="J33" s="26">
        <v>889.79446808434739</v>
      </c>
    </row>
    <row r="35" spans="2:18" x14ac:dyDescent="0.25">
      <c r="K35" s="36"/>
      <c r="L35" s="36"/>
      <c r="M35" s="36"/>
      <c r="N35" s="36"/>
      <c r="O35" s="36"/>
      <c r="P35" s="36"/>
      <c r="Q35" s="36"/>
      <c r="R35" s="36"/>
    </row>
    <row r="37" spans="2:18" x14ac:dyDescent="0.25">
      <c r="C37" s="36"/>
      <c r="D37" s="36"/>
      <c r="E37" s="36"/>
      <c r="F37" s="36"/>
      <c r="G37" s="36"/>
      <c r="H37" s="36"/>
      <c r="I37" s="36"/>
      <c r="J37" s="36"/>
    </row>
  </sheetData>
  <mergeCells count="1">
    <mergeCell ref="C4:W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70E4-9F53-4159-A2A0-86AF01B36E5E}">
  <sheetPr>
    <tabColor theme="6"/>
    <pageSetUpPr fitToPage="1"/>
  </sheetPr>
  <dimension ref="A1:J50"/>
  <sheetViews>
    <sheetView showGridLines="0" zoomScaleNormal="100" zoomScaleSheetLayoutView="100" workbookViewId="0">
      <selection activeCell="A2" sqref="A1:XFD2"/>
    </sheetView>
  </sheetViews>
  <sheetFormatPr defaultColWidth="9.140625" defaultRowHeight="14.25" x14ac:dyDescent="0.2"/>
  <cols>
    <col min="1" max="1" width="40.85546875" style="37" customWidth="1"/>
    <col min="2" max="2" width="19.42578125" style="37" customWidth="1"/>
    <col min="3" max="3" width="18.28515625" style="37" customWidth="1"/>
    <col min="4" max="4" width="19.7109375" style="37" customWidth="1"/>
    <col min="5" max="5" width="14.5703125" style="37" customWidth="1"/>
    <col min="6" max="16384" width="9.140625" style="37"/>
  </cols>
  <sheetData>
    <row r="1" spans="1:10" ht="61.5" customHeight="1" x14ac:dyDescent="0.25">
      <c r="A1" s="1"/>
      <c r="B1" s="2" t="s">
        <v>0</v>
      </c>
      <c r="C1" s="2"/>
      <c r="D1" s="2"/>
      <c r="E1" s="1"/>
      <c r="F1" s="1"/>
      <c r="G1" s="1"/>
      <c r="H1" s="1"/>
      <c r="I1" s="1"/>
      <c r="J1" s="1"/>
    </row>
    <row r="2" spans="1:10" ht="18.75" x14ac:dyDescent="0.3">
      <c r="A2" s="4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18.75" customHeight="1" thickBot="1" x14ac:dyDescent="0.3">
      <c r="A4" s="39" t="s">
        <v>32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15" x14ac:dyDescent="0.2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3"/>
    </row>
    <row r="7" spans="1:10" ht="15" x14ac:dyDescent="0.25">
      <c r="A7" s="39" t="s">
        <v>34</v>
      </c>
      <c r="B7" s="40"/>
      <c r="C7" s="40"/>
      <c r="D7" s="40"/>
    </row>
    <row r="8" spans="1:10" x14ac:dyDescent="0.2">
      <c r="A8" s="44"/>
      <c r="B8" s="44"/>
      <c r="C8" s="44"/>
      <c r="D8" s="44"/>
      <c r="E8" s="45"/>
    </row>
    <row r="9" spans="1:10" x14ac:dyDescent="0.2">
      <c r="A9" s="46" t="s">
        <v>35</v>
      </c>
      <c r="B9" s="47" t="s">
        <v>36</v>
      </c>
      <c r="C9" s="47" t="s">
        <v>37</v>
      </c>
      <c r="D9" s="47"/>
      <c r="E9" s="45"/>
    </row>
    <row r="10" spans="1:10" x14ac:dyDescent="0.2">
      <c r="A10" s="45" t="s">
        <v>38</v>
      </c>
      <c r="B10" s="48">
        <f>'[1]2-Resultados da Simulação'!B61</f>
        <v>5369</v>
      </c>
      <c r="C10" s="47"/>
      <c r="D10" s="47"/>
      <c r="E10" s="45"/>
    </row>
    <row r="11" spans="1:10" x14ac:dyDescent="0.2">
      <c r="A11" s="45"/>
      <c r="B11" s="47"/>
      <c r="C11" s="47"/>
      <c r="D11" s="47"/>
      <c r="E11" s="45"/>
    </row>
    <row r="12" spans="1:10" x14ac:dyDescent="0.2">
      <c r="A12" s="46" t="s">
        <v>39</v>
      </c>
      <c r="B12" s="47"/>
      <c r="C12" s="47"/>
      <c r="D12" s="47"/>
      <c r="E12" s="45"/>
    </row>
    <row r="13" spans="1:10" x14ac:dyDescent="0.2">
      <c r="A13" s="45"/>
      <c r="B13" s="47"/>
      <c r="C13" s="47"/>
      <c r="D13" s="47"/>
      <c r="E13" s="45"/>
    </row>
    <row r="14" spans="1:10" x14ac:dyDescent="0.2">
      <c r="A14" s="45"/>
      <c r="B14" s="47"/>
      <c r="C14" s="47"/>
      <c r="D14" s="47"/>
      <c r="E14" s="45"/>
    </row>
    <row r="15" spans="1:10" ht="56.25" customHeight="1" x14ac:dyDescent="0.2">
      <c r="A15" s="45"/>
      <c r="B15" s="47"/>
      <c r="C15" s="47"/>
      <c r="D15" s="47"/>
      <c r="E15" s="45"/>
    </row>
    <row r="16" spans="1:10" x14ac:dyDescent="0.2">
      <c r="A16" s="49" t="s">
        <v>40</v>
      </c>
      <c r="B16" s="50"/>
      <c r="C16" s="50"/>
      <c r="D16" s="50"/>
      <c r="E16" s="45"/>
    </row>
    <row r="17" spans="1:6" ht="62.25" customHeight="1" x14ac:dyDescent="0.2">
      <c r="A17" s="51" t="s">
        <v>41</v>
      </c>
      <c r="B17" s="51"/>
      <c r="C17" s="51"/>
      <c r="D17" s="51"/>
      <c r="E17" s="45"/>
    </row>
    <row r="18" spans="1:6" x14ac:dyDescent="0.2">
      <c r="B18" s="52"/>
      <c r="C18" s="52"/>
      <c r="D18" s="52"/>
    </row>
    <row r="19" spans="1:6" ht="15" customHeight="1" x14ac:dyDescent="0.25">
      <c r="A19" s="39" t="s">
        <v>42</v>
      </c>
      <c r="B19" s="40"/>
      <c r="C19" s="40"/>
      <c r="D19" s="40"/>
    </row>
    <row r="21" spans="1:6" x14ac:dyDescent="0.2">
      <c r="A21" s="46" t="s">
        <v>43</v>
      </c>
      <c r="B21" s="47" t="s">
        <v>36</v>
      </c>
      <c r="C21" s="47" t="s">
        <v>37</v>
      </c>
      <c r="D21" s="47" t="s">
        <v>44</v>
      </c>
      <c r="F21" s="53"/>
    </row>
    <row r="22" spans="1:6" x14ac:dyDescent="0.2">
      <c r="A22" s="46" t="s">
        <v>45</v>
      </c>
      <c r="B22" s="48">
        <f>'[1]2-Resultados da Simulação'!D69*1000</f>
        <v>794.14114688306779</v>
      </c>
      <c r="C22" s="44" t="s">
        <v>46</v>
      </c>
      <c r="D22" s="44" t="s">
        <v>46</v>
      </c>
    </row>
    <row r="23" spans="1:6" x14ac:dyDescent="0.2">
      <c r="A23" s="45"/>
      <c r="B23" s="47"/>
      <c r="C23" s="47"/>
      <c r="D23" s="47"/>
    </row>
    <row r="24" spans="1:6" x14ac:dyDescent="0.2">
      <c r="A24" s="45" t="s">
        <v>38</v>
      </c>
      <c r="B24" s="48">
        <f>B25+B26</f>
        <v>5369</v>
      </c>
      <c r="C24" s="48">
        <f>C25+C26</f>
        <v>5368.99</v>
      </c>
      <c r="D24" s="54">
        <f>(C24-B24)/C24</f>
        <v>-1.8625477045437371E-6</v>
      </c>
    </row>
    <row r="25" spans="1:6" x14ac:dyDescent="0.2">
      <c r="A25" s="45" t="s">
        <v>47</v>
      </c>
      <c r="B25" s="48">
        <f>'[1]2-Resultados da Simulação'!D61</f>
        <v>4252.2330850787139</v>
      </c>
      <c r="C25" s="48">
        <v>4254.3</v>
      </c>
      <c r="D25" s="54">
        <f>(C25-B25)/C25</f>
        <v>4.8584136550931941E-4</v>
      </c>
    </row>
    <row r="26" spans="1:6" x14ac:dyDescent="0.2">
      <c r="A26" s="45" t="s">
        <v>48</v>
      </c>
      <c r="B26" s="48">
        <f>'[1]2-Resultados da Simulação'!C61</f>
        <v>1116.7669149212859</v>
      </c>
      <c r="C26" s="48">
        <v>1114.69</v>
      </c>
      <c r="D26" s="54">
        <f>(C26-B26)/C26</f>
        <v>-1.8632219911238403E-3</v>
      </c>
    </row>
    <row r="27" spans="1:6" x14ac:dyDescent="0.2">
      <c r="A27" s="45"/>
      <c r="B27" s="48"/>
      <c r="C27" s="48"/>
      <c r="D27" s="54"/>
    </row>
    <row r="28" spans="1:6" x14ac:dyDescent="0.2">
      <c r="A28" s="49" t="s">
        <v>40</v>
      </c>
      <c r="B28" s="50"/>
      <c r="C28" s="50"/>
      <c r="D28" s="50"/>
    </row>
    <row r="29" spans="1:6" ht="48" customHeight="1" x14ac:dyDescent="0.2">
      <c r="A29" s="51" t="s">
        <v>49</v>
      </c>
      <c r="B29" s="51"/>
      <c r="C29" s="51"/>
      <c r="D29" s="51"/>
    </row>
    <row r="31" spans="1:6" ht="15" customHeight="1" x14ac:dyDescent="0.25">
      <c r="A31" s="39" t="s">
        <v>50</v>
      </c>
      <c r="B31" s="40"/>
      <c r="C31" s="40"/>
      <c r="D31" s="40"/>
    </row>
    <row r="33" spans="1:5" ht="16.5" x14ac:dyDescent="0.2">
      <c r="A33" s="46" t="s">
        <v>43</v>
      </c>
      <c r="B33" s="47" t="s">
        <v>36</v>
      </c>
      <c r="C33" s="45"/>
      <c r="D33" s="55"/>
      <c r="E33" s="45"/>
    </row>
    <row r="34" spans="1:5" ht="16.5" x14ac:dyDescent="0.2">
      <c r="A34" s="45" t="s">
        <v>51</v>
      </c>
      <c r="B34" s="48">
        <f>'[1]2-Resultados da Simulação'!D63</f>
        <v>5.3545054324012096</v>
      </c>
      <c r="C34" s="45"/>
      <c r="D34" s="55"/>
      <c r="E34" s="45"/>
    </row>
    <row r="35" spans="1:5" ht="6.75" customHeight="1" x14ac:dyDescent="0.2">
      <c r="A35" s="45"/>
      <c r="B35" s="48"/>
      <c r="C35" s="45"/>
      <c r="D35" s="45"/>
      <c r="E35" s="45"/>
    </row>
    <row r="36" spans="1:5" x14ac:dyDescent="0.2">
      <c r="A36" s="46" t="s">
        <v>52</v>
      </c>
      <c r="B36" s="47" t="s">
        <v>36</v>
      </c>
      <c r="C36" s="45"/>
      <c r="D36" s="45"/>
      <c r="E36" s="45"/>
    </row>
    <row r="37" spans="1:5" ht="16.5" x14ac:dyDescent="0.2">
      <c r="A37" s="45" t="s">
        <v>51</v>
      </c>
      <c r="B37" s="48">
        <f>'[1]2-Resultados da Simulação'!Z63</f>
        <v>4.65261782829542</v>
      </c>
      <c r="C37" s="45"/>
      <c r="D37" s="55" t="s">
        <v>53</v>
      </c>
    </row>
    <row r="38" spans="1:5" x14ac:dyDescent="0.2">
      <c r="A38" s="45" t="s">
        <v>54</v>
      </c>
      <c r="B38" s="48">
        <f>'[1]2-Resultados da Simulação'!Y62</f>
        <v>1596.8661546183664</v>
      </c>
      <c r="C38" s="45"/>
      <c r="D38" s="37" t="s">
        <v>55</v>
      </c>
      <c r="E38" s="37">
        <f>B41/B38</f>
        <v>0.8604141715552186</v>
      </c>
    </row>
    <row r="39" spans="1:5" ht="6.75" customHeight="1" x14ac:dyDescent="0.2">
      <c r="A39" s="45"/>
      <c r="B39" s="48"/>
      <c r="C39" s="45"/>
      <c r="D39" s="45"/>
      <c r="E39" s="45"/>
    </row>
    <row r="40" spans="1:5" x14ac:dyDescent="0.2">
      <c r="A40" s="45" t="s">
        <v>47</v>
      </c>
      <c r="B40" s="48">
        <f>'[1]2-Resultados da Simulação'!Z61</f>
        <v>3995.0337304894706</v>
      </c>
      <c r="C40" s="45"/>
      <c r="D40" s="45"/>
      <c r="E40" s="45"/>
    </row>
    <row r="41" spans="1:5" x14ac:dyDescent="0.2">
      <c r="A41" s="45" t="s">
        <v>48</v>
      </c>
      <c r="B41" s="48">
        <f>'[1]2-Resultados da Simulação'!Y61</f>
        <v>1373.9662695105294</v>
      </c>
      <c r="C41" s="45"/>
      <c r="D41" s="45"/>
      <c r="E41" s="45"/>
    </row>
    <row r="42" spans="1:5" ht="6.75" customHeight="1" x14ac:dyDescent="0.2">
      <c r="A42" s="45"/>
      <c r="B42" s="48"/>
      <c r="C42" s="45"/>
      <c r="D42" s="45"/>
      <c r="E42" s="45"/>
    </row>
    <row r="43" spans="1:5" x14ac:dyDescent="0.2">
      <c r="A43" s="45" t="s">
        <v>56</v>
      </c>
      <c r="B43" s="48">
        <f>B41-B26</f>
        <v>257.19935458924351</v>
      </c>
      <c r="C43" s="45"/>
      <c r="D43" s="45"/>
      <c r="E43" s="45"/>
    </row>
    <row r="44" spans="1:5" x14ac:dyDescent="0.2">
      <c r="A44" s="45" t="s">
        <v>57</v>
      </c>
      <c r="B44" s="56">
        <f>B43*B38/B41</f>
        <v>298.92505620211915</v>
      </c>
      <c r="C44" s="45"/>
      <c r="D44" s="45"/>
      <c r="E44" s="45"/>
    </row>
    <row r="45" spans="1:5" x14ac:dyDescent="0.2">
      <c r="A45" s="45"/>
      <c r="B45" s="45"/>
      <c r="C45" s="45"/>
      <c r="D45" s="45"/>
      <c r="E45" s="45"/>
    </row>
    <row r="46" spans="1:5" x14ac:dyDescent="0.2">
      <c r="A46" s="46" t="s">
        <v>58</v>
      </c>
      <c r="B46" s="57">
        <f>B37/B34</f>
        <v>0.86891644560513026</v>
      </c>
      <c r="C46" s="45"/>
      <c r="D46" s="45"/>
      <c r="E46" s="45"/>
    </row>
    <row r="47" spans="1:5" x14ac:dyDescent="0.2">
      <c r="A47" s="46" t="s">
        <v>59</v>
      </c>
      <c r="B47" s="58">
        <f>B44/B37</f>
        <v>64.248787937013162</v>
      </c>
      <c r="C47" s="45"/>
      <c r="D47" s="45"/>
      <c r="E47" s="45"/>
    </row>
    <row r="48" spans="1:5" x14ac:dyDescent="0.2">
      <c r="A48" s="45"/>
      <c r="B48" s="45"/>
      <c r="C48" s="45"/>
      <c r="D48" s="45"/>
      <c r="E48" s="45"/>
    </row>
    <row r="49" spans="1:5" x14ac:dyDescent="0.2">
      <c r="A49" s="49" t="s">
        <v>40</v>
      </c>
      <c r="B49" s="50"/>
      <c r="C49" s="50"/>
      <c r="D49" s="50"/>
      <c r="E49" s="45"/>
    </row>
    <row r="50" spans="1:5" ht="46.5" customHeight="1" x14ac:dyDescent="0.2">
      <c r="A50" s="51" t="s">
        <v>60</v>
      </c>
      <c r="B50" s="51"/>
      <c r="C50" s="51"/>
      <c r="D50" s="51"/>
      <c r="E50" s="45"/>
    </row>
  </sheetData>
  <mergeCells count="10">
    <mergeCell ref="A19:D19"/>
    <mergeCell ref="A29:D29"/>
    <mergeCell ref="A31:D31"/>
    <mergeCell ref="A50:D50"/>
    <mergeCell ref="B1:D1"/>
    <mergeCell ref="A2:J2"/>
    <mergeCell ref="A4:J4"/>
    <mergeCell ref="A5:J5"/>
    <mergeCell ref="A7:D7"/>
    <mergeCell ref="A17:D17"/>
  </mergeCells>
  <pageMargins left="0.7" right="0.7" top="0.75" bottom="0.75" header="0.3" footer="0.3"/>
  <pageSetup paperSize="9" scale="96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2-Composition_Table_PVT</vt:lpstr>
      <vt:lpstr>2-Valores Calculados</vt:lpstr>
      <vt:lpstr>'2-Valores Calculados'!Area_de_impressao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Amorim</dc:creator>
  <cp:lastModifiedBy>Maurício Amorim</cp:lastModifiedBy>
  <dcterms:created xsi:type="dcterms:W3CDTF">2026-03-29T13:01:31Z</dcterms:created>
  <dcterms:modified xsi:type="dcterms:W3CDTF">2026-03-29T16:07:40Z</dcterms:modified>
</cp:coreProperties>
</file>