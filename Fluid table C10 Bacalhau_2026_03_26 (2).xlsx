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statoilsrm-my.sharepoint.com/personal/ppani_equinor_com/Documents/Documents/2026-03 PE-2 PVT sampling/"/>
    </mc:Choice>
  </mc:AlternateContent>
  <xr:revisionPtr revIDLastSave="0" documentId="8_{B35E5BE9-74EA-4A3A-873D-9C2E34EC6107}" xr6:coauthVersionLast="47" xr6:coauthVersionMax="47" xr10:uidLastSave="{00000000-0000-0000-0000-000000000000}"/>
  <bookViews>
    <workbookView xWindow="-108" yWindow="-108" windowWidth="23256" windowHeight="14016" firstSheet="3" activeTab="3" xr2:uid="{DCB302E5-372F-42B7-92BA-AED901FC6B9D}"/>
  </bookViews>
  <sheets>
    <sheet name="Composition_table" sheetId="1" r:id="rId1"/>
    <sheet name="Separation_process" sheetId="2" r:id="rId2"/>
    <sheet name="2025.10 Sep Test Sample" sheetId="3" r:id="rId3"/>
    <sheet name="2026.02 Sep Test Sample PE_2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4" l="1"/>
  <c r="F5" i="3"/>
  <c r="I5" i="3"/>
  <c r="H38" i="3" l="1"/>
  <c r="E38" i="3"/>
  <c r="C7" i="4" l="1"/>
  <c r="N8" i="3" l="1"/>
  <c r="O8" i="3" s="1"/>
  <c r="L6" i="3"/>
  <c r="O6" i="3" s="1"/>
  <c r="L5" i="3"/>
  <c r="L7" i="3" s="1"/>
  <c r="L3" i="3"/>
  <c r="R8" i="3"/>
  <c r="P7" i="3"/>
  <c r="M7" i="3"/>
  <c r="R6" i="3"/>
  <c r="R5" i="3"/>
  <c r="F6" i="3"/>
  <c r="F8" i="3"/>
  <c r="I6" i="3"/>
  <c r="I8" i="3"/>
  <c r="G7" i="3"/>
  <c r="D7" i="3"/>
  <c r="C7" i="3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C5" i="1"/>
  <c r="R7" i="3" l="1"/>
  <c r="F7" i="3"/>
  <c r="O7" i="3"/>
  <c r="O5" i="3"/>
  <c r="I7" i="3"/>
</calcChain>
</file>

<file path=xl/sharedStrings.xml><?xml version="1.0" encoding="utf-8"?>
<sst xmlns="http://schemas.openxmlformats.org/spreadsheetml/2006/main" count="145" uniqueCount="49">
  <si>
    <t>Initial in North East and North West wells</t>
  </si>
  <si>
    <t>Initial in South East and South West wells</t>
  </si>
  <si>
    <t>Estimated GOR (Sm3/Sm3) based on the Bacalhau separation process below</t>
  </si>
  <si>
    <t>Composition name</t>
  </si>
  <si>
    <t>Composition given in</t>
  </si>
  <si>
    <t>Mol%</t>
  </si>
  <si>
    <t>N2</t>
  </si>
  <si>
    <t>CO2</t>
  </si>
  <si>
    <t>C1</t>
  </si>
  <si>
    <t>C2</t>
  </si>
  <si>
    <t>C3</t>
  </si>
  <si>
    <t>I-C4</t>
  </si>
  <si>
    <t>N-C4</t>
  </si>
  <si>
    <t>I-C5</t>
  </si>
  <si>
    <t>N-C5</t>
  </si>
  <si>
    <t>C6</t>
  </si>
  <si>
    <t>C7</t>
  </si>
  <si>
    <t>C8</t>
  </si>
  <si>
    <t>C9</t>
  </si>
  <si>
    <t>C10+</t>
  </si>
  <si>
    <t>C10+ mol wgt</t>
  </si>
  <si>
    <t>C10+ Density (gr/cc)</t>
  </si>
  <si>
    <t>C7 MolWt</t>
  </si>
  <si>
    <t>C8 MolWt</t>
  </si>
  <si>
    <t>C9 MolWt</t>
  </si>
  <si>
    <t>C10+ MolWt</t>
  </si>
  <si>
    <t>C7 Density (kg/Sm3)</t>
  </si>
  <si>
    <t>C8 Density (kg/Sm3)</t>
  </si>
  <si>
    <t>C9 Density (kg/Sm3)</t>
  </si>
  <si>
    <t>C10+ Density (kg/Sm3)</t>
  </si>
  <si>
    <t>Separation process in the Calsep Routine in the Flow Computer</t>
  </si>
  <si>
    <t>This is based on an interpretation of this assumed prosess:</t>
  </si>
  <si>
    <t>Recombined oil sample 018 + gas sample 017</t>
  </si>
  <si>
    <t>Recombined oil sample 015 + gas sample 017</t>
  </si>
  <si>
    <t>Separator test October 2025</t>
  </si>
  <si>
    <t>Modelled with simple Test sep process</t>
  </si>
  <si>
    <t>Modelled with Flow Computer process</t>
  </si>
  <si>
    <t>Diff</t>
  </si>
  <si>
    <t>Psep, bara</t>
  </si>
  <si>
    <t>Tsep, °C</t>
  </si>
  <si>
    <t>Separator oil, ton/hour</t>
  </si>
  <si>
    <t>Separator gas, ton/hour</t>
  </si>
  <si>
    <t>Separator fluids total, ton/hour</t>
  </si>
  <si>
    <t>Estimated GOR, Sm3/Sm3</t>
  </si>
  <si>
    <t>Separator test February 2026</t>
  </si>
  <si>
    <t>Modelled with simple Test Sep process</t>
  </si>
  <si>
    <t>Modelled with process "Guidant"</t>
  </si>
  <si>
    <t>Recombined Composition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</si>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</sst>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\ %"/>
    <numFmt numFmtId="167" formatCode="0.0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i/>
      <sz val="9"/>
      <color theme="0" tint="-0.34998626667073579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3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3" fontId="0" fillId="2" borderId="8" xfId="0" applyNumberForma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6" xfId="0" applyBorder="1" applyAlignment="1">
      <alignment vertical="center" wrapText="1"/>
    </xf>
    <xf numFmtId="2" fontId="0" fillId="0" borderId="10" xfId="0" applyNumberFormat="1" applyBorder="1" applyAlignment="1">
      <alignment horizontal="center" vertical="center"/>
    </xf>
    <xf numFmtId="2" fontId="0" fillId="0" borderId="2" xfId="0" applyNumberFormat="1" applyBorder="1" applyAlignment="1">
      <alignment vertical="center"/>
    </xf>
    <xf numFmtId="0" fontId="0" fillId="0" borderId="3" xfId="0" quotePrefix="1" applyBorder="1" applyAlignment="1">
      <alignment horizontal="center" vertical="center"/>
    </xf>
    <xf numFmtId="166" fontId="0" fillId="0" borderId="4" xfId="1" quotePrefix="1" applyNumberFormat="1" applyFont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vertical="center"/>
    </xf>
    <xf numFmtId="0" fontId="0" fillId="0" borderId="0" xfId="0" quotePrefix="1" applyAlignment="1">
      <alignment horizontal="center" vertical="center"/>
    </xf>
    <xf numFmtId="166" fontId="0" fillId="0" borderId="6" xfId="1" quotePrefix="1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2" fontId="0" fillId="0" borderId="11" xfId="0" applyNumberFormat="1" applyBorder="1" applyAlignment="1">
      <alignment vertical="center"/>
    </xf>
    <xf numFmtId="1" fontId="0" fillId="0" borderId="7" xfId="0" applyNumberFormat="1" applyBorder="1" applyAlignment="1">
      <alignment horizontal="center" vertical="center"/>
    </xf>
    <xf numFmtId="164" fontId="0" fillId="0" borderId="6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65" fontId="0" fillId="0" borderId="5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9" fillId="0" borderId="0" xfId="0" applyFont="1" applyAlignment="1">
      <alignment vertical="center"/>
    </xf>
    <xf numFmtId="166" fontId="0" fillId="0" borderId="6" xfId="1" quotePrefix="1" applyNumberFormat="1" applyFont="1" applyBorder="1" applyAlignment="1">
      <alignment horizontal="right" vertical="center"/>
    </xf>
    <xf numFmtId="166" fontId="8" fillId="0" borderId="6" xfId="1" quotePrefix="1" applyNumberFormat="1" applyFont="1" applyBorder="1" applyAlignment="1">
      <alignment horizontal="right" vertical="center"/>
    </xf>
    <xf numFmtId="166" fontId="0" fillId="0" borderId="9" xfId="1" quotePrefix="1" applyNumberFormat="1" applyFont="1" applyBorder="1" applyAlignment="1">
      <alignment horizontal="right" vertical="center"/>
    </xf>
    <xf numFmtId="1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2" fontId="10" fillId="0" borderId="10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2" fontId="10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2" fontId="12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vertical="center"/>
    </xf>
    <xf numFmtId="0" fontId="12" fillId="0" borderId="3" xfId="0" quotePrefix="1" applyFont="1" applyBorder="1" applyAlignment="1">
      <alignment horizontal="center" vertical="center"/>
    </xf>
    <xf numFmtId="166" fontId="12" fillId="0" borderId="4" xfId="1" quotePrefix="1" applyNumberFormat="1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2" fontId="12" fillId="0" borderId="5" xfId="0" applyNumberFormat="1" applyFont="1" applyBorder="1" applyAlignment="1">
      <alignment vertical="center"/>
    </xf>
    <xf numFmtId="0" fontId="12" fillId="0" borderId="0" xfId="0" quotePrefix="1" applyFont="1" applyAlignment="1">
      <alignment horizontal="center" vertical="center"/>
    </xf>
    <xf numFmtId="166" fontId="12" fillId="0" borderId="6" xfId="1" quotePrefix="1" applyNumberFormat="1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166" fontId="12" fillId="0" borderId="6" xfId="1" quotePrefix="1" applyNumberFormat="1" applyFont="1" applyBorder="1" applyAlignment="1">
      <alignment horizontal="right" vertical="center"/>
    </xf>
    <xf numFmtId="2" fontId="12" fillId="0" borderId="11" xfId="0" applyNumberFormat="1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166" fontId="13" fillId="0" borderId="6" xfId="1" quotePrefix="1" applyNumberFormat="1" applyFont="1" applyBorder="1" applyAlignment="1">
      <alignment horizontal="right" vertical="center"/>
    </xf>
    <xf numFmtId="0" fontId="12" fillId="0" borderId="7" xfId="0" applyFont="1" applyBorder="1" applyAlignment="1">
      <alignment vertical="center" wrapText="1"/>
    </xf>
    <xf numFmtId="3" fontId="12" fillId="0" borderId="12" xfId="0" applyNumberFormat="1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166" fontId="12" fillId="0" borderId="9" xfId="1" quotePrefix="1" applyNumberFormat="1" applyFont="1" applyFill="1" applyBorder="1" applyAlignment="1">
      <alignment horizontal="right" vertical="center"/>
    </xf>
    <xf numFmtId="2" fontId="12" fillId="4" borderId="11" xfId="0" applyNumberFormat="1" applyFont="1" applyFill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7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167" fontId="0" fillId="0" borderId="0" xfId="0" applyNumberFormat="1" applyAlignment="1">
      <alignment vertical="center"/>
    </xf>
    <xf numFmtId="2" fontId="10" fillId="0" borderId="12" xfId="0" applyNumberFormat="1" applyFont="1" applyBorder="1" applyAlignment="1">
      <alignment horizontal="center" vertical="center"/>
    </xf>
    <xf numFmtId="2" fontId="11" fillId="0" borderId="12" xfId="0" applyNumberFormat="1" applyFont="1" applyBorder="1" applyAlignment="1">
      <alignment horizontal="center" vertical="center"/>
    </xf>
    <xf numFmtId="1" fontId="10" fillId="0" borderId="13" xfId="0" applyNumberFormat="1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7" fontId="10" fillId="0" borderId="10" xfId="0" applyNumberFormat="1" applyFont="1" applyBorder="1" applyAlignment="1">
      <alignment horizontal="center" vertical="center"/>
    </xf>
    <xf numFmtId="167" fontId="10" fillId="0" borderId="11" xfId="0" applyNumberFormat="1" applyFont="1" applyBorder="1" applyAlignment="1">
      <alignment horizontal="center" vertical="center"/>
    </xf>
    <xf numFmtId="167" fontId="10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C1 vs</a:t>
            </a:r>
            <a:r>
              <a:rPr lang="en-US" baseline="0"/>
              <a:t> GOR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Composition_table!$C$3:$W$3</c:f>
              <c:numCache>
                <c:formatCode>#,##0</c:formatCode>
                <c:ptCount val="21"/>
                <c:pt idx="0">
                  <c:v>336.7</c:v>
                </c:pt>
                <c:pt idx="1">
                  <c:v>351.4</c:v>
                </c:pt>
                <c:pt idx="2">
                  <c:v>389</c:v>
                </c:pt>
                <c:pt idx="3">
                  <c:v>391</c:v>
                </c:pt>
                <c:pt idx="4" formatCode="0">
                  <c:v>392.9</c:v>
                </c:pt>
                <c:pt idx="5">
                  <c:v>398</c:v>
                </c:pt>
                <c:pt idx="6">
                  <c:v>402.7</c:v>
                </c:pt>
                <c:pt idx="7">
                  <c:v>407.4</c:v>
                </c:pt>
                <c:pt idx="8" formatCode="0">
                  <c:v>417.4</c:v>
                </c:pt>
                <c:pt idx="9" formatCode="0">
                  <c:v>442</c:v>
                </c:pt>
                <c:pt idx="10" formatCode="0">
                  <c:v>490.9</c:v>
                </c:pt>
                <c:pt idx="11" formatCode="0">
                  <c:v>588.29999999999995</c:v>
                </c:pt>
                <c:pt idx="12" formatCode="0">
                  <c:v>686.1</c:v>
                </c:pt>
                <c:pt idx="13" formatCode="0">
                  <c:v>784.4</c:v>
                </c:pt>
                <c:pt idx="14" formatCode="0">
                  <c:v>883.3</c:v>
                </c:pt>
                <c:pt idx="15" formatCode="0">
                  <c:v>1129.0999999999999</c:v>
                </c:pt>
                <c:pt idx="16" formatCode="0">
                  <c:v>1378.8</c:v>
                </c:pt>
                <c:pt idx="17" formatCode="0">
                  <c:v>1874.7</c:v>
                </c:pt>
                <c:pt idx="18" formatCode="0">
                  <c:v>2888.9</c:v>
                </c:pt>
                <c:pt idx="19" formatCode="0">
                  <c:v>5376.5</c:v>
                </c:pt>
                <c:pt idx="20">
                  <c:v>57730.2</c:v>
                </c:pt>
              </c:numCache>
            </c:numRef>
          </c:xVal>
          <c:yVal>
            <c:numRef>
              <c:f>Composition_table!$C$10:$W$10</c:f>
              <c:numCache>
                <c:formatCode>0.000</c:formatCode>
                <c:ptCount val="21"/>
                <c:pt idx="0">
                  <c:v>62.182931696514402</c:v>
                </c:pt>
                <c:pt idx="1">
                  <c:v>62.8206169453466</c:v>
                </c:pt>
                <c:pt idx="2">
                  <c:v>64.221806435079799</c:v>
                </c:pt>
                <c:pt idx="3">
                  <c:v>64.286308552287906</c:v>
                </c:pt>
                <c:pt idx="4">
                  <c:v>64.356257425029696</c:v>
                </c:pt>
                <c:pt idx="5">
                  <c:v>64.507308959960895</c:v>
                </c:pt>
                <c:pt idx="6">
                  <c:v>64.655387878417997</c:v>
                </c:pt>
                <c:pt idx="7">
                  <c:v>64.800598144531193</c:v>
                </c:pt>
                <c:pt idx="8">
                  <c:v>65.082717895507798</c:v>
                </c:pt>
                <c:pt idx="9">
                  <c:v>65.743141174316406</c:v>
                </c:pt>
                <c:pt idx="10">
                  <c:v>66.898880004882798</c:v>
                </c:pt>
                <c:pt idx="11">
                  <c:v>68.715042114257798</c:v>
                </c:pt>
                <c:pt idx="12">
                  <c:v>70.077156066894503</c:v>
                </c:pt>
                <c:pt idx="13">
                  <c:v>71.136589050292898</c:v>
                </c:pt>
                <c:pt idx="14">
                  <c:v>71.984123229980497</c:v>
                </c:pt>
                <c:pt idx="15">
                  <c:v>73.509704589843693</c:v>
                </c:pt>
                <c:pt idx="16">
                  <c:v>74.526748657226506</c:v>
                </c:pt>
                <c:pt idx="17">
                  <c:v>75.798065185546804</c:v>
                </c:pt>
                <c:pt idx="18">
                  <c:v>77.069381713867102</c:v>
                </c:pt>
                <c:pt idx="19">
                  <c:v>78.225112915039105</c:v>
                </c:pt>
                <c:pt idx="20">
                  <c:v>79.460952758789105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A7-4D1D-9678-146C95633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289944"/>
        <c:axId val="800296064"/>
      </c:scatterChart>
      <c:valAx>
        <c:axId val="800289944"/>
        <c:scaling>
          <c:orientation val="minMax"/>
          <c:max val="800"/>
          <c:min val="3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GOR, Sm3/Sm3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296064"/>
        <c:crosses val="autoZero"/>
        <c:crossBetween val="midCat"/>
        <c:majorUnit val="40"/>
      </c:valAx>
      <c:valAx>
        <c:axId val="800296064"/>
        <c:scaling>
          <c:orientation val="minMax"/>
          <c:max val="72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C1, mol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28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400050</xdr:colOff>
      <xdr:row>11</xdr:row>
      <xdr:rowOff>57150</xdr:rowOff>
    </xdr:from>
    <xdr:to>
      <xdr:col>34</xdr:col>
      <xdr:colOff>571500</xdr:colOff>
      <xdr:row>33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05648B-38CC-4E5E-BD0F-39E5808DA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3</xdr:row>
      <xdr:rowOff>72881</xdr:rowOff>
    </xdr:from>
    <xdr:to>
      <xdr:col>21</xdr:col>
      <xdr:colOff>334572</xdr:colOff>
      <xdr:row>34</xdr:row>
      <xdr:rowOff>111125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1262E0-E9B6-4B58-B106-71C82093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4" y="8645381"/>
          <a:ext cx="14231548" cy="5943744"/>
        </a:xfrm>
        <a:prstGeom prst="rect">
          <a:avLst/>
        </a:prstGeom>
        <a:ln>
          <a:solidFill>
            <a:srgbClr val="002060"/>
          </a:solidFill>
        </a:ln>
      </xdr:spPr>
    </xdr:pic>
    <xdr:clientData/>
  </xdr:twoCellAnchor>
  <xdr:twoCellAnchor editAs="oneCell">
    <xdr:from>
      <xdr:col>1</xdr:col>
      <xdr:colOff>132080</xdr:colOff>
      <xdr:row>41</xdr:row>
      <xdr:rowOff>73659</xdr:rowOff>
    </xdr:from>
    <xdr:to>
      <xdr:col>20</xdr:col>
      <xdr:colOff>120650</xdr:colOff>
      <xdr:row>79</xdr:row>
      <xdr:rowOff>156022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E9A9C6-D7C5-4519-996C-48D53E06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455" y="15885159"/>
          <a:ext cx="13237845" cy="7321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AF7B-D370-4DA4-9FFE-F797369BC6DE}">
  <dimension ref="B2:W37"/>
  <sheetViews>
    <sheetView zoomScaleNormal="100" workbookViewId="0">
      <selection activeCell="A26" sqref="A26"/>
    </sheetView>
  </sheetViews>
  <sheetFormatPr defaultColWidth="9.140625" defaultRowHeight="15"/>
  <cols>
    <col min="1" max="1" width="5" style="1" customWidth="1"/>
    <col min="2" max="2" width="33" style="1" customWidth="1"/>
    <col min="3" max="19" width="9.140625" style="1"/>
    <col min="20" max="20" width="10.28515625" style="1" customWidth="1"/>
    <col min="21" max="21" width="11.42578125" style="1" customWidth="1"/>
    <col min="22" max="22" width="11.28515625" style="1" customWidth="1"/>
    <col min="23" max="23" width="11.140625" style="1" customWidth="1"/>
    <col min="24" max="16384" width="9.140625" style="1"/>
  </cols>
  <sheetData>
    <row r="2" spans="2:23" ht="90">
      <c r="D2" s="22" t="s">
        <v>0</v>
      </c>
      <c r="G2" s="23" t="s">
        <v>1</v>
      </c>
    </row>
    <row r="3" spans="2:23" ht="45">
      <c r="B3" s="2" t="s">
        <v>2</v>
      </c>
      <c r="C3" s="3">
        <v>336.7</v>
      </c>
      <c r="D3" s="15">
        <v>351.4</v>
      </c>
      <c r="E3" s="3">
        <v>389</v>
      </c>
      <c r="F3" s="3">
        <v>391</v>
      </c>
      <c r="G3" s="5">
        <v>392.9</v>
      </c>
      <c r="H3" s="3">
        <v>398</v>
      </c>
      <c r="I3" s="3">
        <v>402.7</v>
      </c>
      <c r="J3" s="3">
        <v>407.4</v>
      </c>
      <c r="K3" s="4">
        <v>417.4</v>
      </c>
      <c r="L3" s="4">
        <v>442</v>
      </c>
      <c r="M3" s="4">
        <v>490.9</v>
      </c>
      <c r="N3" s="4">
        <v>588.29999999999995</v>
      </c>
      <c r="O3" s="4">
        <v>686.1</v>
      </c>
      <c r="P3" s="4">
        <v>784.4</v>
      </c>
      <c r="Q3" s="4">
        <v>883.3</v>
      </c>
      <c r="R3" s="4">
        <v>1129.0999999999999</v>
      </c>
      <c r="S3" s="4">
        <v>1378.8</v>
      </c>
      <c r="T3" s="4">
        <v>1874.7</v>
      </c>
      <c r="U3" s="4">
        <v>2888.9</v>
      </c>
      <c r="V3" s="4">
        <v>5376.5</v>
      </c>
      <c r="W3" s="3">
        <v>57730.2</v>
      </c>
    </row>
    <row r="4" spans="2:23">
      <c r="B4" s="2"/>
      <c r="C4" s="4"/>
      <c r="D4" s="16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2:23">
      <c r="B5" s="2" t="s">
        <v>3</v>
      </c>
      <c r="C5" s="6" t="str">
        <f>"GOR_"&amp;ROUND(C3,0)</f>
        <v>GOR_337</v>
      </c>
      <c r="D5" s="17" t="str">
        <f t="shared" ref="D5:W5" si="0">"GOR_"&amp;ROUND(D3,0)</f>
        <v>GOR_351</v>
      </c>
      <c r="E5" s="6" t="str">
        <f t="shared" si="0"/>
        <v>GOR_389</v>
      </c>
      <c r="F5" s="6" t="str">
        <f t="shared" si="0"/>
        <v>GOR_391</v>
      </c>
      <c r="G5" s="5" t="str">
        <f t="shared" si="0"/>
        <v>GOR_393</v>
      </c>
      <c r="H5" s="6" t="str">
        <f t="shared" si="0"/>
        <v>GOR_398</v>
      </c>
      <c r="I5" s="6" t="str">
        <f t="shared" si="0"/>
        <v>GOR_403</v>
      </c>
      <c r="J5" s="6" t="str">
        <f t="shared" si="0"/>
        <v>GOR_407</v>
      </c>
      <c r="K5" s="6" t="str">
        <f t="shared" si="0"/>
        <v>GOR_417</v>
      </c>
      <c r="L5" s="6" t="str">
        <f t="shared" si="0"/>
        <v>GOR_442</v>
      </c>
      <c r="M5" s="6" t="str">
        <f t="shared" si="0"/>
        <v>GOR_491</v>
      </c>
      <c r="N5" s="6" t="str">
        <f t="shared" si="0"/>
        <v>GOR_588</v>
      </c>
      <c r="O5" s="6" t="str">
        <f t="shared" si="0"/>
        <v>GOR_686</v>
      </c>
      <c r="P5" s="6" t="str">
        <f t="shared" si="0"/>
        <v>GOR_784</v>
      </c>
      <c r="Q5" s="6" t="str">
        <f t="shared" si="0"/>
        <v>GOR_883</v>
      </c>
      <c r="R5" s="6" t="str">
        <f t="shared" si="0"/>
        <v>GOR_1129</v>
      </c>
      <c r="S5" s="6" t="str">
        <f t="shared" si="0"/>
        <v>GOR_1379</v>
      </c>
      <c r="T5" s="6" t="str">
        <f t="shared" si="0"/>
        <v>GOR_1875</v>
      </c>
      <c r="U5" s="6" t="str">
        <f t="shared" si="0"/>
        <v>GOR_2889</v>
      </c>
      <c r="V5" s="6" t="str">
        <f t="shared" si="0"/>
        <v>GOR_5377</v>
      </c>
      <c r="W5" s="6" t="str">
        <f t="shared" si="0"/>
        <v>GOR_57730</v>
      </c>
    </row>
    <row r="6" spans="2:23">
      <c r="C6" s="7"/>
      <c r="D6" s="18"/>
      <c r="E6" s="7"/>
      <c r="F6" s="7"/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2:23">
      <c r="B7" s="1" t="s">
        <v>4</v>
      </c>
      <c r="C7" s="1" t="s">
        <v>5</v>
      </c>
      <c r="D7" s="19" t="s">
        <v>5</v>
      </c>
      <c r="E7" s="1" t="s">
        <v>5</v>
      </c>
      <c r="F7" s="1" t="s">
        <v>5</v>
      </c>
      <c r="G7" s="11" t="s">
        <v>5</v>
      </c>
      <c r="H7" s="1" t="s">
        <v>5</v>
      </c>
      <c r="I7" s="1" t="s">
        <v>5</v>
      </c>
      <c r="J7" s="1" t="s">
        <v>5</v>
      </c>
      <c r="K7" s="1" t="s">
        <v>5</v>
      </c>
      <c r="L7" s="1" t="s">
        <v>5</v>
      </c>
      <c r="M7" s="1" t="s">
        <v>5</v>
      </c>
      <c r="N7" s="1" t="s">
        <v>5</v>
      </c>
      <c r="O7" s="1" t="s">
        <v>5</v>
      </c>
      <c r="P7" s="1" t="s">
        <v>5</v>
      </c>
      <c r="Q7" s="1" t="s">
        <v>5</v>
      </c>
      <c r="R7" s="1" t="s">
        <v>5</v>
      </c>
      <c r="S7" s="1" t="s">
        <v>5</v>
      </c>
      <c r="T7" s="1" t="s">
        <v>5</v>
      </c>
      <c r="U7" s="1" t="s">
        <v>5</v>
      </c>
      <c r="V7" s="1" t="s">
        <v>5</v>
      </c>
      <c r="W7" s="1" t="s">
        <v>5</v>
      </c>
    </row>
    <row r="8" spans="2:23">
      <c r="B8" s="1" t="s">
        <v>6</v>
      </c>
      <c r="C8" s="9">
        <v>0.57537671621584197</v>
      </c>
      <c r="D8" s="20">
        <v>0.58472475428271398</v>
      </c>
      <c r="E8" s="9">
        <v>0.60498445439353699</v>
      </c>
      <c r="F8" s="9">
        <v>0.60590525352804703</v>
      </c>
      <c r="G8" s="10">
        <v>0.60690242760971003</v>
      </c>
      <c r="H8" s="9">
        <v>0.60956680774688698</v>
      </c>
      <c r="I8" s="9">
        <v>0.61217886209487904</v>
      </c>
      <c r="J8" s="9">
        <v>0.61474025249481201</v>
      </c>
      <c r="K8" s="9">
        <v>0.61971664428710904</v>
      </c>
      <c r="L8" s="9">
        <v>0.63136589527130105</v>
      </c>
      <c r="M8" s="9">
        <v>0.65175205469131403</v>
      </c>
      <c r="N8" s="9">
        <v>0.68378746509552002</v>
      </c>
      <c r="O8" s="9">
        <v>0.70781397819518999</v>
      </c>
      <c r="P8" s="9">
        <v>0.72650134563446001</v>
      </c>
      <c r="Q8" s="9">
        <v>0.74145126342773404</v>
      </c>
      <c r="R8" s="9">
        <v>0.76836097240447998</v>
      </c>
      <c r="S8" s="9">
        <v>0.78630077838897705</v>
      </c>
      <c r="T8" s="9">
        <v>0.80872559547424305</v>
      </c>
      <c r="U8" s="9">
        <v>0.83115035295486395</v>
      </c>
      <c r="V8" s="9">
        <v>0.85153651237487804</v>
      </c>
      <c r="W8" s="9">
        <v>0.87333565950393699</v>
      </c>
    </row>
    <row r="9" spans="2:23">
      <c r="B9" s="1" t="s">
        <v>7</v>
      </c>
      <c r="C9" s="9">
        <v>1.9796578272108002E-2</v>
      </c>
      <c r="D9" s="20">
        <v>1.9829391152076801E-2</v>
      </c>
      <c r="E9" s="9">
        <v>1.98943094235732E-2</v>
      </c>
      <c r="F9" s="9">
        <v>1.9897086927840101E-2</v>
      </c>
      <c r="G9" s="10">
        <v>1.99000796003184E-2</v>
      </c>
      <c r="H9" s="9">
        <v>2.05644350498915E-2</v>
      </c>
      <c r="I9" s="9">
        <v>2.1215764805674601E-2</v>
      </c>
      <c r="J9" s="9">
        <v>2.18544453382492E-2</v>
      </c>
      <c r="K9" s="9">
        <v>2.3095313459634701E-2</v>
      </c>
      <c r="L9" s="9">
        <v>2.6000073179602599E-2</v>
      </c>
      <c r="M9" s="9">
        <v>3.1083399429917301E-2</v>
      </c>
      <c r="N9" s="9">
        <v>3.9071485400199897E-2</v>
      </c>
      <c r="O9" s="9">
        <v>4.5062549412250498E-2</v>
      </c>
      <c r="P9" s="9">
        <v>4.9722265452146502E-2</v>
      </c>
      <c r="Q9" s="9">
        <v>5.3450040519237497E-2</v>
      </c>
      <c r="R9" s="9">
        <v>6.01600259542465E-2</v>
      </c>
      <c r="S9" s="9">
        <v>6.4633354544639504E-2</v>
      </c>
      <c r="T9" s="9">
        <v>7.0225015282630907E-2</v>
      </c>
      <c r="U9" s="9">
        <v>7.5816676020622198E-2</v>
      </c>
      <c r="V9" s="9">
        <v>8.0900013446807903E-2</v>
      </c>
      <c r="W9" s="9">
        <v>8.6335644125938402E-2</v>
      </c>
    </row>
    <row r="10" spans="2:23">
      <c r="B10" s="1" t="s">
        <v>8</v>
      </c>
      <c r="C10" s="9">
        <v>62.182931696514402</v>
      </c>
      <c r="D10" s="20">
        <v>62.8206169453466</v>
      </c>
      <c r="E10" s="9">
        <v>64.221806435079799</v>
      </c>
      <c r="F10" s="9">
        <v>64.286308552287906</v>
      </c>
      <c r="G10" s="10">
        <v>64.356257425029696</v>
      </c>
      <c r="H10" s="9">
        <v>64.507308959960895</v>
      </c>
      <c r="I10" s="9">
        <v>64.655387878417997</v>
      </c>
      <c r="J10" s="9">
        <v>64.800598144531193</v>
      </c>
      <c r="K10" s="9">
        <v>65.082717895507798</v>
      </c>
      <c r="L10" s="9">
        <v>65.743141174316406</v>
      </c>
      <c r="M10" s="9">
        <v>66.898880004882798</v>
      </c>
      <c r="N10" s="9">
        <v>68.715042114257798</v>
      </c>
      <c r="O10" s="9">
        <v>70.077156066894503</v>
      </c>
      <c r="P10" s="9">
        <v>71.136589050292898</v>
      </c>
      <c r="Q10" s="9">
        <v>71.984123229980497</v>
      </c>
      <c r="R10" s="9">
        <v>73.509704589843693</v>
      </c>
      <c r="S10" s="9">
        <v>74.526748657226506</v>
      </c>
      <c r="T10" s="9">
        <v>75.798065185546804</v>
      </c>
      <c r="U10" s="9">
        <v>77.069381713867102</v>
      </c>
      <c r="V10" s="9">
        <v>78.225112915039105</v>
      </c>
      <c r="W10" s="9">
        <v>79.460952758789105</v>
      </c>
    </row>
    <row r="11" spans="2:23">
      <c r="B11" s="1" t="s">
        <v>9</v>
      </c>
      <c r="C11" s="9">
        <v>8.0688745919070008</v>
      </c>
      <c r="D11" s="20">
        <v>8.0955274751683302</v>
      </c>
      <c r="E11" s="9">
        <v>8.1608198077787097</v>
      </c>
      <c r="F11" s="9">
        <v>8.1640757204254797</v>
      </c>
      <c r="G11" s="10">
        <v>8.1676326705306792</v>
      </c>
      <c r="H11" s="9">
        <v>8.1845178604125994</v>
      </c>
      <c r="I11" s="9">
        <v>8.2010717391967791</v>
      </c>
      <c r="J11" s="9">
        <v>8.2173051834106392</v>
      </c>
      <c r="K11" s="9">
        <v>8.2488422393798793</v>
      </c>
      <c r="L11" s="9">
        <v>8.3226661682128906</v>
      </c>
      <c r="M11" s="9">
        <v>8.4518613815307599</v>
      </c>
      <c r="N11" s="9">
        <v>8.6548814773559606</v>
      </c>
      <c r="O11" s="9">
        <v>8.80714607238769</v>
      </c>
      <c r="P11" s="9">
        <v>8.9255743026733398</v>
      </c>
      <c r="Q11" s="9">
        <v>9.0203170776367205</v>
      </c>
      <c r="R11" s="9">
        <v>9.1908540725708008</v>
      </c>
      <c r="S11" s="9">
        <v>9.3045454025268501</v>
      </c>
      <c r="T11" s="9">
        <v>9.4466590881347603</v>
      </c>
      <c r="U11" s="9">
        <v>9.5887727737426705</v>
      </c>
      <c r="V11" s="9">
        <v>9.7179670333862305</v>
      </c>
      <c r="W11" s="9">
        <v>9.8561153411865199</v>
      </c>
    </row>
    <row r="12" spans="2:23">
      <c r="B12" s="1" t="s">
        <v>10</v>
      </c>
      <c r="C12" s="9">
        <v>5.0474179959508598</v>
      </c>
      <c r="D12" s="20">
        <v>5.0212471857653904</v>
      </c>
      <c r="E12" s="9">
        <v>4.9688210232084504</v>
      </c>
      <c r="F12" s="9">
        <v>4.9666034418025902</v>
      </c>
      <c r="G12" s="10">
        <v>4.9642198568794296</v>
      </c>
      <c r="H12" s="9">
        <v>4.9757423400878897</v>
      </c>
      <c r="I12" s="9">
        <v>4.98703908920288</v>
      </c>
      <c r="J12" s="9">
        <v>4.9981169700622496</v>
      </c>
      <c r="K12" s="9">
        <v>5.0196380615234304</v>
      </c>
      <c r="L12" s="9">
        <v>5.0700178146362296</v>
      </c>
      <c r="M12" s="9">
        <v>5.1581835746765101</v>
      </c>
      <c r="N12" s="9">
        <v>5.2967286109924299</v>
      </c>
      <c r="O12" s="9">
        <v>5.4006376266479403</v>
      </c>
      <c r="P12" s="9">
        <v>5.4814553260803196</v>
      </c>
      <c r="Q12" s="9">
        <v>5.5461106300354004</v>
      </c>
      <c r="R12" s="9">
        <v>5.6624879837036097</v>
      </c>
      <c r="S12" s="9">
        <v>5.7400727272033603</v>
      </c>
      <c r="T12" s="9">
        <v>5.8370547294616699</v>
      </c>
      <c r="U12" s="9">
        <v>5.9340362548828098</v>
      </c>
      <c r="V12" s="9">
        <v>6.0222015380859402</v>
      </c>
      <c r="W12" s="9">
        <v>6.11647701263428</v>
      </c>
    </row>
    <row r="13" spans="2:23">
      <c r="B13" s="1" t="s">
        <v>11</v>
      </c>
      <c r="C13" s="9">
        <v>1.06855215542051</v>
      </c>
      <c r="D13" s="20">
        <v>1.0582655339207001</v>
      </c>
      <c r="E13" s="9">
        <v>1.03660383431433</v>
      </c>
      <c r="F13" s="9">
        <v>1.0356426283220399</v>
      </c>
      <c r="G13" s="10">
        <v>1.0346041384165501</v>
      </c>
      <c r="H13" s="9">
        <v>1.0339150428771999</v>
      </c>
      <c r="I13" s="9">
        <v>1.0332393646240201</v>
      </c>
      <c r="J13" s="9">
        <v>1.03257691860198</v>
      </c>
      <c r="K13" s="9">
        <v>1.03128957748413</v>
      </c>
      <c r="L13" s="9">
        <v>1.02827656269073</v>
      </c>
      <c r="M13" s="9">
        <v>1.02300357818603</v>
      </c>
      <c r="N13" s="9">
        <v>1.0147173404693599</v>
      </c>
      <c r="O13" s="9">
        <v>1.0085026025771999</v>
      </c>
      <c r="P13" s="9">
        <v>1.0036689043045</v>
      </c>
      <c r="Q13" s="9">
        <v>0.99980205297470104</v>
      </c>
      <c r="R13" s="9">
        <v>0.99284166097640902</v>
      </c>
      <c r="S13" s="9">
        <v>0.98820132017135598</v>
      </c>
      <c r="T13" s="9">
        <v>0.98240095376968295</v>
      </c>
      <c r="U13" s="9">
        <v>0.97660058736801103</v>
      </c>
      <c r="V13" s="9">
        <v>0.97132760286331199</v>
      </c>
      <c r="W13" s="9">
        <v>0.96568912267684903</v>
      </c>
    </row>
    <row r="14" spans="2:23">
      <c r="B14" s="1" t="s">
        <v>12</v>
      </c>
      <c r="C14" s="9">
        <v>1.8576489731824599</v>
      </c>
      <c r="D14" s="20">
        <v>1.8373629583844</v>
      </c>
      <c r="E14" s="9">
        <v>1.7946514079489799</v>
      </c>
      <c r="F14" s="9">
        <v>1.7927554924887801</v>
      </c>
      <c r="G14" s="10">
        <v>1.7907071628286499</v>
      </c>
      <c r="H14" s="9">
        <v>1.78781890869141</v>
      </c>
      <c r="I14" s="9">
        <v>1.7849873304367101</v>
      </c>
      <c r="J14" s="9">
        <v>1.78221094608306</v>
      </c>
      <c r="K14" s="9">
        <v>1.77681636810302</v>
      </c>
      <c r="L14" s="9">
        <v>1.76418828964233</v>
      </c>
      <c r="M14" s="9">
        <v>1.7420893907546899</v>
      </c>
      <c r="N14" s="9">
        <v>1.7073621749877901</v>
      </c>
      <c r="O14" s="9">
        <v>1.6813169717788601</v>
      </c>
      <c r="P14" s="9">
        <v>1.6610594987869201</v>
      </c>
      <c r="Q14" s="9">
        <v>1.64485347270966</v>
      </c>
      <c r="R14" s="9">
        <v>1.61568284034729</v>
      </c>
      <c r="S14" s="9">
        <v>1.59623563289642</v>
      </c>
      <c r="T14" s="9">
        <v>1.57192683219909</v>
      </c>
      <c r="U14" s="9">
        <v>1.54761779308319</v>
      </c>
      <c r="V14" s="9">
        <v>1.52551889419556</v>
      </c>
      <c r="W14" s="9">
        <v>1.5018882751464799</v>
      </c>
    </row>
    <row r="15" spans="2:23">
      <c r="B15" s="1" t="s">
        <v>13</v>
      </c>
      <c r="C15" s="9">
        <v>0.68094708091570799</v>
      </c>
      <c r="D15" s="20">
        <v>0.67067739632563295</v>
      </c>
      <c r="E15" s="9">
        <v>0.64866888768878095</v>
      </c>
      <c r="F15" s="9">
        <v>0.64767650468664495</v>
      </c>
      <c r="G15" s="10">
        <v>0.64660258641034596</v>
      </c>
      <c r="H15" s="9">
        <v>0.64420056343078602</v>
      </c>
      <c r="I15" s="9">
        <v>0.641845703125</v>
      </c>
      <c r="J15" s="9">
        <v>0.63953649997711104</v>
      </c>
      <c r="K15" s="9">
        <v>0.63505011796951205</v>
      </c>
      <c r="L15" s="9">
        <v>0.624547779560089</v>
      </c>
      <c r="M15" s="9">
        <v>0.60616886615753096</v>
      </c>
      <c r="N15" s="9">
        <v>0.57728755474090598</v>
      </c>
      <c r="O15" s="9">
        <v>0.55562663078308105</v>
      </c>
      <c r="P15" s="9">
        <v>0.53877919912338201</v>
      </c>
      <c r="Q15" s="9">
        <v>0.52530133724212602</v>
      </c>
      <c r="R15" s="9">
        <v>0.50104099512100198</v>
      </c>
      <c r="S15" s="9">
        <v>0.484867483377456</v>
      </c>
      <c r="T15" s="9">
        <v>0.46465066075325001</v>
      </c>
      <c r="U15" s="9">
        <v>0.44443374872207603</v>
      </c>
      <c r="V15" s="9">
        <v>0.42605480551719699</v>
      </c>
      <c r="W15" s="9">
        <v>0.40640199184417702</v>
      </c>
    </row>
    <row r="16" spans="2:23">
      <c r="B16" s="1" t="s">
        <v>14</v>
      </c>
      <c r="C16" s="9">
        <v>0.78837192648593901</v>
      </c>
      <c r="D16" s="20">
        <v>0.77574337983270203</v>
      </c>
      <c r="E16" s="9">
        <v>0.74864959395590303</v>
      </c>
      <c r="F16" s="9">
        <v>0.74742661698598001</v>
      </c>
      <c r="G16" s="10">
        <v>0.74610298441193801</v>
      </c>
      <c r="H16" s="9">
        <v>0.74244850873947099</v>
      </c>
      <c r="I16" s="9">
        <v>0.73886567354202304</v>
      </c>
      <c r="J16" s="9">
        <v>0.73535239696502597</v>
      </c>
      <c r="K16" s="9">
        <v>0.728526651859283</v>
      </c>
      <c r="L16" s="9">
        <v>0.71254819631576505</v>
      </c>
      <c r="M16" s="9">
        <v>0.68458586931228604</v>
      </c>
      <c r="N16" s="9">
        <v>0.64064502716064498</v>
      </c>
      <c r="O16" s="9">
        <v>0.60768938064575195</v>
      </c>
      <c r="P16" s="9">
        <v>0.58205717802047696</v>
      </c>
      <c r="Q16" s="9">
        <v>0.56155151128768899</v>
      </c>
      <c r="R16" s="9">
        <v>0.52464121580123901</v>
      </c>
      <c r="S16" s="9">
        <v>0.50003433227538996</v>
      </c>
      <c r="T16" s="9">
        <v>0.469275742769241</v>
      </c>
      <c r="U16" s="9">
        <v>0.43851715326309199</v>
      </c>
      <c r="V16" s="9">
        <v>0.41055482625961298</v>
      </c>
      <c r="W16" s="9">
        <v>0.38065448403358498</v>
      </c>
    </row>
    <row r="17" spans="2:23">
      <c r="B17" s="1" t="s">
        <v>15</v>
      </c>
      <c r="C17" s="9">
        <v>1.1116361551479901</v>
      </c>
      <c r="D17" s="20">
        <v>1.0896389322962401</v>
      </c>
      <c r="E17" s="9">
        <v>1.0421017500933401</v>
      </c>
      <c r="F17" s="9">
        <v>1.03994252248732</v>
      </c>
      <c r="G17" s="10">
        <v>1.0376041504166</v>
      </c>
      <c r="H17" s="9">
        <v>1.02910304069519</v>
      </c>
      <c r="I17" s="9">
        <v>1.02076864242554</v>
      </c>
      <c r="J17" s="9">
        <v>1.01259624958038</v>
      </c>
      <c r="K17" s="9">
        <v>0.99671816825866699</v>
      </c>
      <c r="L17" s="9">
        <v>0.95954918861389105</v>
      </c>
      <c r="M17" s="9">
        <v>0.894503474235534</v>
      </c>
      <c r="N17" s="9">
        <v>0.79228860139846802</v>
      </c>
      <c r="O17" s="9">
        <v>0.71562755107879605</v>
      </c>
      <c r="P17" s="9">
        <v>0.65600222349166804</v>
      </c>
      <c r="Q17" s="9">
        <v>0.60830205678939797</v>
      </c>
      <c r="R17" s="9">
        <v>0.522441625595092</v>
      </c>
      <c r="S17" s="9">
        <v>0.46520134806632901</v>
      </c>
      <c r="T17" s="9">
        <v>0.39365100860595698</v>
      </c>
      <c r="U17" s="9">
        <v>0.322100669145584</v>
      </c>
      <c r="V17" s="9">
        <v>0.25705492496490501</v>
      </c>
      <c r="W17" s="9">
        <v>0.18750102818012199</v>
      </c>
    </row>
    <row r="18" spans="2:23">
      <c r="B18" s="1" t="s">
        <v>16</v>
      </c>
      <c r="C18" s="9">
        <v>1.1384811109963999</v>
      </c>
      <c r="D18" s="20">
        <v>1.11739850819083</v>
      </c>
      <c r="E18" s="9">
        <v>1.0732669985979899</v>
      </c>
      <c r="F18" s="9">
        <v>1.0713139972431001</v>
      </c>
      <c r="G18" s="10">
        <v>1.0692042768171099</v>
      </c>
      <c r="H18" s="9">
        <v>1.0586181879043599</v>
      </c>
      <c r="I18" s="9">
        <v>1.0482394695282</v>
      </c>
      <c r="J18" s="9">
        <v>1.0380624532699501</v>
      </c>
      <c r="K18" s="9">
        <v>1.0182898044586099</v>
      </c>
      <c r="L18" s="9">
        <v>0.97200393676757801</v>
      </c>
      <c r="M18" s="9">
        <v>0.89100366830825795</v>
      </c>
      <c r="N18" s="9">
        <v>0.76371741294860795</v>
      </c>
      <c r="O18" s="9">
        <v>0.66825270652770996</v>
      </c>
      <c r="P18" s="9">
        <v>0.594002366065979</v>
      </c>
      <c r="Q18" s="9">
        <v>0.53460216522216797</v>
      </c>
      <c r="R18" s="9">
        <v>0.42768171429634</v>
      </c>
      <c r="S18" s="9">
        <v>0.35640144348144498</v>
      </c>
      <c r="T18" s="9">
        <v>0.26730108261108398</v>
      </c>
      <c r="U18" s="9">
        <v>0.17820072174072199</v>
      </c>
      <c r="V18" s="9">
        <v>9.7200393676757799E-2</v>
      </c>
      <c r="W18" s="9">
        <v>1.0586181655526199E-2</v>
      </c>
    </row>
    <row r="19" spans="2:23">
      <c r="B19" s="1" t="s">
        <v>17</v>
      </c>
      <c r="C19" s="9">
        <v>1.6567837716348499</v>
      </c>
      <c r="D19" s="20">
        <v>1.6214911123273299</v>
      </c>
      <c r="E19" s="9">
        <v>1.5469280799637599</v>
      </c>
      <c r="F19" s="9">
        <v>1.5436019820531199</v>
      </c>
      <c r="G19" s="10">
        <v>1.54000616002464</v>
      </c>
      <c r="H19" s="9">
        <v>1.5247585773468</v>
      </c>
      <c r="I19" s="9">
        <v>1.50980997085571</v>
      </c>
      <c r="J19" s="9">
        <v>1.49515163898468</v>
      </c>
      <c r="K19" s="9">
        <v>1.4666725397109901</v>
      </c>
      <c r="L19" s="9">
        <v>1.4000055789947501</v>
      </c>
      <c r="M19" s="9">
        <v>1.2833385467529199</v>
      </c>
      <c r="N19" s="9">
        <v>1.10000443458557</v>
      </c>
      <c r="O19" s="9">
        <v>0.96250391006469704</v>
      </c>
      <c r="P19" s="9">
        <v>0.85555899143218905</v>
      </c>
      <c r="Q19" s="9">
        <v>0.77000313997268699</v>
      </c>
      <c r="R19" s="9">
        <v>0.61600250005722001</v>
      </c>
      <c r="S19" s="9">
        <v>0.51333540678024203</v>
      </c>
      <c r="T19" s="9">
        <v>0.385001569986343</v>
      </c>
      <c r="U19" s="9">
        <v>0.25666770339012102</v>
      </c>
      <c r="V19" s="9">
        <v>0.14000058174133301</v>
      </c>
      <c r="W19" s="9">
        <v>1.5247587114572501E-2</v>
      </c>
    </row>
    <row r="20" spans="2:23">
      <c r="B20" s="1" t="s">
        <v>18</v>
      </c>
      <c r="C20" s="9">
        <v>1.4715489522876299</v>
      </c>
      <c r="D20" s="20">
        <v>1.4365684949310999</v>
      </c>
      <c r="E20" s="9">
        <v>1.3620700397276899</v>
      </c>
      <c r="F20" s="9">
        <v>1.3587245717041401</v>
      </c>
      <c r="G20" s="10">
        <v>1.3551054204216799</v>
      </c>
      <c r="H20" s="9">
        <v>1.3416885137557999</v>
      </c>
      <c r="I20" s="9">
        <v>1.32853472232819</v>
      </c>
      <c r="J20" s="9">
        <v>1.3156363964080799</v>
      </c>
      <c r="K20" s="9">
        <v>1.29057657718658</v>
      </c>
      <c r="L20" s="9">
        <v>1.2319140434265099</v>
      </c>
      <c r="M20" s="9">
        <v>1.1292545795440601</v>
      </c>
      <c r="N20" s="9">
        <v>0.96793246269226096</v>
      </c>
      <c r="O20" s="9">
        <v>0.84694093465804998</v>
      </c>
      <c r="P20" s="9">
        <v>0.75283634662628096</v>
      </c>
      <c r="Q20" s="9">
        <v>0.67755275964736905</v>
      </c>
      <c r="R20" s="9">
        <v>0.542042195796966</v>
      </c>
      <c r="S20" s="9">
        <v>0.451701790094375</v>
      </c>
      <c r="T20" s="9">
        <v>0.33877635002136203</v>
      </c>
      <c r="U20" s="9">
        <v>0.225850895047187</v>
      </c>
      <c r="V20" s="9">
        <v>0.12319141626358</v>
      </c>
      <c r="W20" s="9">
        <v>1.34168863296509E-2</v>
      </c>
    </row>
    <row r="21" spans="2:23">
      <c r="B21" s="1" t="s">
        <v>19</v>
      </c>
      <c r="C21" s="9">
        <v>14.331632295068159</v>
      </c>
      <c r="D21" s="20">
        <v>13.85090793207576</v>
      </c>
      <c r="E21" s="9">
        <v>12.77073337782506</v>
      </c>
      <c r="F21" s="9">
        <v>12.720125629056868</v>
      </c>
      <c r="G21" s="10">
        <v>12.665150660602652</v>
      </c>
      <c r="H21" s="9">
        <v>12.539753258228304</v>
      </c>
      <c r="I21" s="9">
        <v>12.416814446449274</v>
      </c>
      <c r="J21" s="9">
        <v>12.296263635158496</v>
      </c>
      <c r="K21" s="9">
        <v>12.062048554420429</v>
      </c>
      <c r="L21" s="9">
        <v>11.513773441314653</v>
      </c>
      <c r="M21" s="9">
        <v>10.554292857646919</v>
      </c>
      <c r="N21" s="9">
        <v>9.0465364456176758</v>
      </c>
      <c r="O21" s="9">
        <v>7.9157194495200889</v>
      </c>
      <c r="P21" s="9">
        <v>7.0361950397491393</v>
      </c>
      <c r="Q21" s="9">
        <v>6.3325756788253837</v>
      </c>
      <c r="R21" s="9">
        <v>5.0660604238510096</v>
      </c>
      <c r="S21" s="9">
        <v>4.2217169106006578</v>
      </c>
      <c r="T21" s="9">
        <v>3.1662878096103637</v>
      </c>
      <c r="U21" s="9">
        <v>2.1108584553003262</v>
      </c>
      <c r="V21" s="9">
        <v>1.1513773947954189</v>
      </c>
      <c r="W21" s="9">
        <v>0.12539753690361982</v>
      </c>
    </row>
    <row r="22" spans="2:23">
      <c r="D22" s="19"/>
      <c r="G22" s="11"/>
    </row>
    <row r="23" spans="2:23">
      <c r="B23" s="1" t="s">
        <v>20</v>
      </c>
      <c r="C23" s="9">
        <v>289.63963387737891</v>
      </c>
      <c r="D23" s="20">
        <v>288.95881020483768</v>
      </c>
      <c r="E23" s="9">
        <v>286.81342143837708</v>
      </c>
      <c r="F23" s="9">
        <v>286.68811721820799</v>
      </c>
      <c r="G23" s="10">
        <v>286.54916999507799</v>
      </c>
      <c r="H23" s="9">
        <v>286.54917135186446</v>
      </c>
      <c r="I23" s="9">
        <v>286.54916992071077</v>
      </c>
      <c r="J23" s="9">
        <v>286.54917354769412</v>
      </c>
      <c r="K23" s="9">
        <v>286.54916712306118</v>
      </c>
      <c r="L23" s="9">
        <v>286.54916597124441</v>
      </c>
      <c r="M23" s="9">
        <v>286.54917231025883</v>
      </c>
      <c r="N23" s="9">
        <v>286.5491699088397</v>
      </c>
      <c r="O23" s="9">
        <v>286.54916828345068</v>
      </c>
      <c r="P23" s="9">
        <v>286.54917012880236</v>
      </c>
      <c r="Q23" s="9">
        <v>286.54917065032976</v>
      </c>
      <c r="R23" s="9">
        <v>286.54917014053729</v>
      </c>
      <c r="S23" s="9">
        <v>286.54917004084848</v>
      </c>
      <c r="T23" s="9">
        <v>286.54917144864254</v>
      </c>
      <c r="U23" s="9">
        <v>286.54917004084854</v>
      </c>
      <c r="V23" s="9">
        <v>286.54916778030531</v>
      </c>
      <c r="W23" s="9">
        <v>286.5491703615636</v>
      </c>
    </row>
    <row r="24" spans="2:23">
      <c r="B24" s="1" t="s">
        <v>21</v>
      </c>
      <c r="C24" s="12">
        <v>0.89090277827944997</v>
      </c>
      <c r="D24" s="21">
        <v>0.89066262568680077</v>
      </c>
      <c r="E24" s="12">
        <v>0.889890840728498</v>
      </c>
      <c r="F24" s="12">
        <v>0.88984517044092803</v>
      </c>
      <c r="G24" s="13">
        <v>0.88979445958583059</v>
      </c>
      <c r="H24" s="12">
        <v>0.88979446739831003</v>
      </c>
      <c r="I24" s="12">
        <v>0.88979446606872703</v>
      </c>
      <c r="J24" s="12">
        <v>0.88979446808434703</v>
      </c>
      <c r="K24" s="12">
        <v>0.88979446250324368</v>
      </c>
      <c r="L24" s="12">
        <v>0.88979446363795212</v>
      </c>
      <c r="M24" s="12">
        <v>0.88979446664290307</v>
      </c>
      <c r="N24" s="12">
        <v>0.88979446439067633</v>
      </c>
      <c r="O24" s="12">
        <v>0.88979446275397556</v>
      </c>
      <c r="P24" s="12">
        <v>0.88979446409950247</v>
      </c>
      <c r="Q24" s="12">
        <v>0.88979446732914347</v>
      </c>
      <c r="R24" s="12">
        <v>0.88979446468769485</v>
      </c>
      <c r="S24" s="12">
        <v>0.88979446438360577</v>
      </c>
      <c r="T24" s="12">
        <v>0.88979446784111804</v>
      </c>
      <c r="U24" s="12">
        <v>0.8897944648306384</v>
      </c>
      <c r="V24" s="12">
        <v>0.8667359009664618</v>
      </c>
      <c r="W24" s="12">
        <v>0.88979446675397533</v>
      </c>
    </row>
    <row r="25" spans="2:23">
      <c r="D25" s="19"/>
      <c r="G25" s="11"/>
    </row>
    <row r="26" spans="2:23">
      <c r="B26" s="1" t="s">
        <v>22</v>
      </c>
      <c r="C26" s="9">
        <v>97.364997863769503</v>
      </c>
      <c r="D26" s="20">
        <v>97.364997863769503</v>
      </c>
      <c r="E26" s="9">
        <v>97.364997863769503</v>
      </c>
      <c r="F26" s="9">
        <v>97.364997863769503</v>
      </c>
      <c r="G26" s="10">
        <v>97.364997863769503</v>
      </c>
      <c r="H26" s="9">
        <v>97.364997863769503</v>
      </c>
      <c r="I26" s="9">
        <v>97.364997863769503</v>
      </c>
      <c r="J26" s="9">
        <v>97.364997863769503</v>
      </c>
      <c r="K26" s="9">
        <v>97.364997863769503</v>
      </c>
      <c r="L26" s="9">
        <v>97.364997863769503</v>
      </c>
      <c r="M26" s="9">
        <v>97.364997863769503</v>
      </c>
      <c r="N26" s="9">
        <v>97.364997863769503</v>
      </c>
      <c r="O26" s="9">
        <v>97.364997863769503</v>
      </c>
      <c r="P26" s="9">
        <v>97.364997863769503</v>
      </c>
      <c r="Q26" s="9">
        <v>97.364997863769503</v>
      </c>
      <c r="R26" s="9">
        <v>97.364997863769503</v>
      </c>
      <c r="S26" s="9">
        <v>97.364997863769503</v>
      </c>
      <c r="T26" s="9">
        <v>97.364997863769503</v>
      </c>
      <c r="U26" s="9">
        <v>97.364997863769503</v>
      </c>
      <c r="V26" s="9">
        <v>97.364997863769503</v>
      </c>
      <c r="W26" s="9">
        <v>97.364997863769503</v>
      </c>
    </row>
    <row r="27" spans="2:23">
      <c r="B27" s="1" t="s">
        <v>23</v>
      </c>
      <c r="C27" s="9">
        <v>111.286003112792</v>
      </c>
      <c r="D27" s="20">
        <v>111.286003112792</v>
      </c>
      <c r="E27" s="9">
        <v>111.286003112792</v>
      </c>
      <c r="F27" s="9">
        <v>111.286003112792</v>
      </c>
      <c r="G27" s="10">
        <v>111.286003112793</v>
      </c>
      <c r="H27" s="9">
        <v>111.286003112793</v>
      </c>
      <c r="I27" s="9">
        <v>111.286003112793</v>
      </c>
      <c r="J27" s="9">
        <v>111.286003112792</v>
      </c>
      <c r="K27" s="9">
        <v>111.286003112792</v>
      </c>
      <c r="L27" s="9">
        <v>111.286003112792</v>
      </c>
      <c r="M27" s="9">
        <v>111.286003112792</v>
      </c>
      <c r="N27" s="9">
        <v>111.286003112793</v>
      </c>
      <c r="O27" s="9">
        <v>111.286003112792</v>
      </c>
      <c r="P27" s="9">
        <v>111.286003112792</v>
      </c>
      <c r="Q27" s="9">
        <v>111.286003112793</v>
      </c>
      <c r="R27" s="9">
        <v>111.286003112792</v>
      </c>
      <c r="S27" s="9">
        <v>111.286003112792</v>
      </c>
      <c r="T27" s="9">
        <v>111.286003112792</v>
      </c>
      <c r="U27" s="9">
        <v>111.286003112792</v>
      </c>
      <c r="V27" s="9">
        <v>111.286003112793</v>
      </c>
      <c r="W27" s="9">
        <v>111.286003112793</v>
      </c>
    </row>
    <row r="28" spans="2:23">
      <c r="B28" s="1" t="s">
        <v>24</v>
      </c>
      <c r="C28" s="9">
        <v>125.25299835205</v>
      </c>
      <c r="D28" s="20">
        <v>125.25299835205</v>
      </c>
      <c r="E28" s="9">
        <v>125.25299835205</v>
      </c>
      <c r="F28" s="9">
        <v>125.25299835205</v>
      </c>
      <c r="G28" s="10">
        <v>125.25299835205099</v>
      </c>
      <c r="H28" s="9">
        <v>125.25299835205099</v>
      </c>
      <c r="I28" s="9">
        <v>125.25299835205099</v>
      </c>
      <c r="J28" s="9">
        <v>125.25299835205</v>
      </c>
      <c r="K28" s="9">
        <v>125.25299835205</v>
      </c>
      <c r="L28" s="9">
        <v>125.25299835205</v>
      </c>
      <c r="M28" s="9">
        <v>125.25299835205</v>
      </c>
      <c r="N28" s="9">
        <v>125.25299835205099</v>
      </c>
      <c r="O28" s="9">
        <v>125.25299835205</v>
      </c>
      <c r="P28" s="9">
        <v>125.25299835205</v>
      </c>
      <c r="Q28" s="9">
        <v>125.25299835205099</v>
      </c>
      <c r="R28" s="9">
        <v>125.25299835205</v>
      </c>
      <c r="S28" s="9">
        <v>125.25299835205</v>
      </c>
      <c r="T28" s="9">
        <v>125.25299835205</v>
      </c>
      <c r="U28" s="9">
        <v>125.25299835205</v>
      </c>
      <c r="V28" s="9">
        <v>125.25299835205099</v>
      </c>
      <c r="W28" s="9">
        <v>125.25299835205099</v>
      </c>
    </row>
    <row r="29" spans="2:23">
      <c r="B29" s="1" t="s">
        <v>25</v>
      </c>
      <c r="C29" s="9">
        <v>289.63963387737891</v>
      </c>
      <c r="D29" s="20">
        <v>288.95881020483768</v>
      </c>
      <c r="E29" s="9">
        <v>286.81342143837708</v>
      </c>
      <c r="F29" s="9">
        <v>286.68811721820799</v>
      </c>
      <c r="G29" s="10">
        <v>286.54916999507799</v>
      </c>
      <c r="H29" s="9">
        <v>286.54917135186446</v>
      </c>
      <c r="I29" s="9">
        <v>286.54916992071077</v>
      </c>
      <c r="J29" s="9">
        <v>286.54917354769412</v>
      </c>
      <c r="K29" s="9">
        <v>286.54916712306118</v>
      </c>
      <c r="L29" s="9">
        <v>286.54916597124441</v>
      </c>
      <c r="M29" s="9">
        <v>286.54917231025883</v>
      </c>
      <c r="N29" s="9">
        <v>286.5491699088397</v>
      </c>
      <c r="O29" s="9">
        <v>286.54916828345068</v>
      </c>
      <c r="P29" s="9">
        <v>286.54917012880236</v>
      </c>
      <c r="Q29" s="9">
        <v>286.54917065032976</v>
      </c>
      <c r="R29" s="9">
        <v>286.54917014053729</v>
      </c>
      <c r="S29" s="9">
        <v>286.54917004084848</v>
      </c>
      <c r="T29" s="9">
        <v>286.54917144864254</v>
      </c>
      <c r="U29" s="9">
        <v>286.54917004084854</v>
      </c>
      <c r="V29" s="9">
        <v>286.54916778030531</v>
      </c>
      <c r="W29" s="9">
        <v>286.5491703615636</v>
      </c>
    </row>
    <row r="30" spans="2:23">
      <c r="B30" s="1" t="s">
        <v>26</v>
      </c>
      <c r="C30" s="9">
        <v>748.78710508346501</v>
      </c>
      <c r="D30" s="20">
        <v>748.78710508346501</v>
      </c>
      <c r="E30" s="9">
        <v>748.78710508346501</v>
      </c>
      <c r="F30" s="9">
        <v>748.78710508346501</v>
      </c>
      <c r="G30" s="10">
        <v>748.78710508346603</v>
      </c>
      <c r="H30" s="9">
        <v>748.78710508346603</v>
      </c>
      <c r="I30" s="9">
        <v>748.78710508346603</v>
      </c>
      <c r="J30" s="9">
        <v>748.78710508346501</v>
      </c>
      <c r="K30" s="9">
        <v>748.78710508346501</v>
      </c>
      <c r="L30" s="9">
        <v>748.78710508346501</v>
      </c>
      <c r="M30" s="9">
        <v>748.78710508346501</v>
      </c>
      <c r="N30" s="9">
        <v>748.78710508346603</v>
      </c>
      <c r="O30" s="9">
        <v>748.78710508346501</v>
      </c>
      <c r="P30" s="9">
        <v>748.78710508346501</v>
      </c>
      <c r="Q30" s="9">
        <v>748.78710508346603</v>
      </c>
      <c r="R30" s="9">
        <v>748.78710508346501</v>
      </c>
      <c r="S30" s="9">
        <v>748.78710508346501</v>
      </c>
      <c r="T30" s="9">
        <v>748.78710508346501</v>
      </c>
      <c r="U30" s="9">
        <v>748.78710508346501</v>
      </c>
      <c r="V30" s="9">
        <v>748.78710508346603</v>
      </c>
      <c r="W30" s="9">
        <v>748.78710508346603</v>
      </c>
    </row>
    <row r="31" spans="2:23">
      <c r="B31" s="1" t="s">
        <v>27</v>
      </c>
      <c r="C31" s="9">
        <v>771.40837907791104</v>
      </c>
      <c r="D31" s="20">
        <v>771.40837907791104</v>
      </c>
      <c r="E31" s="9">
        <v>771.40837907791104</v>
      </c>
      <c r="F31" s="9">
        <v>771.40837907791104</v>
      </c>
      <c r="G31" s="10">
        <v>771.40837907791104</v>
      </c>
      <c r="H31" s="9">
        <v>771.40837907791104</v>
      </c>
      <c r="I31" s="9">
        <v>771.40837907791104</v>
      </c>
      <c r="J31" s="9">
        <v>771.40837907791104</v>
      </c>
      <c r="K31" s="9">
        <v>771.40837907791104</v>
      </c>
      <c r="L31" s="9">
        <v>771.40837907791104</v>
      </c>
      <c r="M31" s="9">
        <v>771.40837907791104</v>
      </c>
      <c r="N31" s="9">
        <v>771.40837907791104</v>
      </c>
      <c r="O31" s="9">
        <v>771.40837907791104</v>
      </c>
      <c r="P31" s="9">
        <v>771.40837907791104</v>
      </c>
      <c r="Q31" s="9">
        <v>771.40837907791104</v>
      </c>
      <c r="R31" s="9">
        <v>771.40837907791104</v>
      </c>
      <c r="S31" s="9">
        <v>771.40837907791104</v>
      </c>
      <c r="T31" s="9">
        <v>771.40837907791104</v>
      </c>
      <c r="U31" s="9">
        <v>771.40837907791104</v>
      </c>
      <c r="V31" s="9">
        <v>771.40837907791104</v>
      </c>
      <c r="W31" s="9">
        <v>771.40837907791104</v>
      </c>
    </row>
    <row r="32" spans="2:23">
      <c r="B32" s="1" t="s">
        <v>28</v>
      </c>
      <c r="C32" s="9">
        <v>788.64026069641102</v>
      </c>
      <c r="D32" s="20">
        <v>788.64026069641102</v>
      </c>
      <c r="E32" s="9">
        <v>788.64026069641102</v>
      </c>
      <c r="F32" s="9">
        <v>788.64026069641102</v>
      </c>
      <c r="G32" s="10">
        <v>788.64026069641102</v>
      </c>
      <c r="H32" s="9">
        <v>788.64026069641102</v>
      </c>
      <c r="I32" s="9">
        <v>788.64026069641102</v>
      </c>
      <c r="J32" s="9">
        <v>788.64026069641102</v>
      </c>
      <c r="K32" s="9">
        <v>788.64026069641102</v>
      </c>
      <c r="L32" s="9">
        <v>788.64026069641102</v>
      </c>
      <c r="M32" s="9">
        <v>788.64026069641102</v>
      </c>
      <c r="N32" s="9">
        <v>788.64026069641102</v>
      </c>
      <c r="O32" s="9">
        <v>788.64026069641102</v>
      </c>
      <c r="P32" s="9">
        <v>788.64026069641102</v>
      </c>
      <c r="Q32" s="9">
        <v>788.64026069641102</v>
      </c>
      <c r="R32" s="9">
        <v>788.64026069641102</v>
      </c>
      <c r="S32" s="9">
        <v>788.64026069641102</v>
      </c>
      <c r="T32" s="9">
        <v>788.64026069641102</v>
      </c>
      <c r="U32" s="9">
        <v>788.64026069641102</v>
      </c>
      <c r="V32" s="9">
        <v>788.64026069641102</v>
      </c>
      <c r="W32" s="9">
        <v>788.64026069641102</v>
      </c>
    </row>
    <row r="33" spans="2:23">
      <c r="B33" s="1" t="s">
        <v>29</v>
      </c>
      <c r="C33" s="9">
        <v>890.90277827944999</v>
      </c>
      <c r="D33" s="20">
        <v>890.66262568680077</v>
      </c>
      <c r="E33" s="9">
        <v>889.89084072849835</v>
      </c>
      <c r="F33" s="9">
        <v>889.84517044092809</v>
      </c>
      <c r="G33" s="10">
        <v>889.79445958583062</v>
      </c>
      <c r="H33" s="9">
        <v>889.79446739830996</v>
      </c>
      <c r="I33" s="9">
        <v>889.79446606872682</v>
      </c>
      <c r="J33" s="9">
        <v>889.79446808434739</v>
      </c>
      <c r="K33" s="9">
        <v>889.79446250324372</v>
      </c>
      <c r="L33" s="9">
        <v>889.79446363795216</v>
      </c>
      <c r="M33" s="9">
        <v>889.7944666429031</v>
      </c>
      <c r="N33" s="9">
        <v>889.79446439067635</v>
      </c>
      <c r="O33" s="9">
        <v>889.79446275397561</v>
      </c>
      <c r="P33" s="9">
        <v>889.79446409950242</v>
      </c>
      <c r="Q33" s="9">
        <v>889.79446732914346</v>
      </c>
      <c r="R33" s="9">
        <v>889.79446468769481</v>
      </c>
      <c r="S33" s="9">
        <v>889.79446438360571</v>
      </c>
      <c r="T33" s="9">
        <v>889.79446784111803</v>
      </c>
      <c r="U33" s="9">
        <v>889.79446483063839</v>
      </c>
      <c r="V33" s="9">
        <v>866.73590096646183</v>
      </c>
      <c r="W33" s="9">
        <v>889.79446675397537</v>
      </c>
    </row>
    <row r="37" spans="2:23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3601-B2E6-417A-9783-D0A6CF6677A8}">
  <dimension ref="B2:B40"/>
  <sheetViews>
    <sheetView zoomScaleNormal="100" workbookViewId="0">
      <selection activeCell="Q39" sqref="Q39"/>
    </sheetView>
  </sheetViews>
  <sheetFormatPr defaultColWidth="9.140625" defaultRowHeight="15"/>
  <cols>
    <col min="1" max="1" width="5" style="1" customWidth="1"/>
    <col min="2" max="2" width="33" style="1" customWidth="1"/>
    <col min="3" max="19" width="9.140625" style="1"/>
    <col min="20" max="20" width="10.28515625" style="1" customWidth="1"/>
    <col min="21" max="21" width="11.42578125" style="1" customWidth="1"/>
    <col min="22" max="22" width="11.28515625" style="1" customWidth="1"/>
    <col min="23" max="23" width="11.140625" style="1" customWidth="1"/>
    <col min="24" max="16384" width="9.140625" style="1"/>
  </cols>
  <sheetData>
    <row r="2" spans="2:2" ht="24">
      <c r="B2" s="14" t="s">
        <v>30</v>
      </c>
    </row>
    <row r="40" spans="2:2">
      <c r="B40" s="1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3BA4-175F-499C-AB92-AB974AAC9C94}">
  <dimension ref="B1:S38"/>
  <sheetViews>
    <sheetView workbookViewId="0">
      <selection activeCell="K24" sqref="K24"/>
    </sheetView>
  </sheetViews>
  <sheetFormatPr defaultColWidth="8.7109375" defaultRowHeight="15"/>
  <cols>
    <col min="1" max="1" width="8.7109375" style="1"/>
    <col min="2" max="2" width="26.42578125" style="1" customWidth="1"/>
    <col min="3" max="3" width="12.42578125" style="1" customWidth="1"/>
    <col min="4" max="4" width="8.7109375" style="1"/>
    <col min="5" max="5" width="10.28515625" style="1" customWidth="1"/>
    <col min="6" max="6" width="8" style="1" customWidth="1"/>
    <col min="7" max="7" width="8.7109375" style="1"/>
    <col min="8" max="8" width="9.85546875" style="1" customWidth="1"/>
    <col min="9" max="9" width="6.140625" style="1" customWidth="1"/>
    <col min="10" max="10" width="8.7109375" style="1"/>
    <col min="11" max="11" width="24.7109375" style="1" customWidth="1"/>
    <col min="12" max="12" width="12.42578125" style="1" customWidth="1"/>
    <col min="13" max="13" width="8.7109375" style="1"/>
    <col min="14" max="14" width="8.85546875" style="1" customWidth="1"/>
    <col min="15" max="15" width="6.140625" style="1" customWidth="1"/>
    <col min="16" max="16" width="8.7109375" style="1"/>
    <col min="17" max="17" width="8.85546875" style="1" customWidth="1"/>
    <col min="18" max="18" width="6.140625" style="1" customWidth="1"/>
    <col min="19" max="16384" width="8.7109375" style="1"/>
  </cols>
  <sheetData>
    <row r="1" spans="2:19" ht="54.75" customHeight="1">
      <c r="D1" s="120" t="s">
        <v>32</v>
      </c>
      <c r="E1" s="121"/>
      <c r="F1" s="122"/>
      <c r="G1" s="120" t="s">
        <v>33</v>
      </c>
      <c r="H1" s="121"/>
      <c r="I1" s="122"/>
      <c r="K1" s="67"/>
      <c r="L1" s="67"/>
      <c r="M1" s="123" t="s">
        <v>32</v>
      </c>
      <c r="N1" s="124"/>
      <c r="O1" s="125"/>
      <c r="P1" s="123" t="s">
        <v>33</v>
      </c>
      <c r="Q1" s="124"/>
      <c r="R1" s="125"/>
      <c r="S1" s="67"/>
    </row>
    <row r="2" spans="2:19" ht="90">
      <c r="B2" s="120" t="s">
        <v>34</v>
      </c>
      <c r="C2" s="122"/>
      <c r="D2" s="34" t="s">
        <v>35</v>
      </c>
      <c r="E2" s="35" t="s">
        <v>36</v>
      </c>
      <c r="F2" s="36" t="s">
        <v>37</v>
      </c>
      <c r="G2" s="34" t="s">
        <v>35</v>
      </c>
      <c r="H2" s="35" t="s">
        <v>36</v>
      </c>
      <c r="I2" s="36" t="s">
        <v>37</v>
      </c>
      <c r="K2" s="126" t="s">
        <v>34</v>
      </c>
      <c r="L2" s="126"/>
      <c r="M2" s="68" t="s">
        <v>35</v>
      </c>
      <c r="N2" s="69" t="s">
        <v>36</v>
      </c>
      <c r="O2" s="70" t="s">
        <v>37</v>
      </c>
      <c r="P2" s="68" t="s">
        <v>35</v>
      </c>
      <c r="Q2" s="69" t="s">
        <v>36</v>
      </c>
      <c r="R2" s="70" t="s">
        <v>37</v>
      </c>
      <c r="S2" s="67"/>
    </row>
    <row r="3" spans="2:19">
      <c r="B3" s="29" t="s">
        <v>38</v>
      </c>
      <c r="C3" s="37">
        <v>91.43</v>
      </c>
      <c r="D3" s="38"/>
      <c r="E3" s="39"/>
      <c r="F3" s="40"/>
      <c r="G3" s="38"/>
      <c r="H3" s="39"/>
      <c r="I3" s="40"/>
      <c r="K3" s="71" t="s">
        <v>38</v>
      </c>
      <c r="L3" s="72">
        <f>C3</f>
        <v>91.43</v>
      </c>
      <c r="M3" s="73"/>
      <c r="N3" s="74"/>
      <c r="O3" s="75"/>
      <c r="P3" s="73"/>
      <c r="Q3" s="74"/>
      <c r="R3" s="75"/>
      <c r="S3" s="67"/>
    </row>
    <row r="4" spans="2:19">
      <c r="B4" s="25" t="s">
        <v>39</v>
      </c>
      <c r="C4" s="41">
        <v>64.45</v>
      </c>
      <c r="D4" s="42"/>
      <c r="E4" s="43"/>
      <c r="F4" s="44"/>
      <c r="G4" s="42"/>
      <c r="H4" s="43"/>
      <c r="I4" s="44"/>
      <c r="K4" s="76" t="s">
        <v>39</v>
      </c>
      <c r="L4" s="93">
        <v>29.9</v>
      </c>
      <c r="M4" s="77"/>
      <c r="N4" s="78"/>
      <c r="O4" s="79"/>
      <c r="P4" s="77"/>
      <c r="Q4" s="78"/>
      <c r="R4" s="79"/>
      <c r="S4" s="67"/>
    </row>
    <row r="5" spans="2:19">
      <c r="B5" s="25" t="s">
        <v>40</v>
      </c>
      <c r="C5" s="45">
        <v>200.81</v>
      </c>
      <c r="D5" s="25">
        <v>195.83</v>
      </c>
      <c r="E5" s="43"/>
      <c r="F5" s="59">
        <f>(D5-$C5)/$C5</f>
        <v>-2.4799561774811959E-2</v>
      </c>
      <c r="G5" s="25">
        <v>198.49</v>
      </c>
      <c r="H5" s="43"/>
      <c r="I5" s="59">
        <f>(G5-$C5)/$C5</f>
        <v>-1.1553209501518814E-2</v>
      </c>
      <c r="K5" s="76" t="s">
        <v>40</v>
      </c>
      <c r="L5" s="80">
        <f>C5</f>
        <v>200.81</v>
      </c>
      <c r="M5" s="76">
        <v>201.41</v>
      </c>
      <c r="N5" s="78"/>
      <c r="O5" s="81">
        <f>(M5-$L5)/$L5</f>
        <v>2.9878990090134671E-3</v>
      </c>
      <c r="P5" s="76">
        <v>203.81</v>
      </c>
      <c r="Q5" s="78"/>
      <c r="R5" s="81">
        <f>(P5-$C5)/$C5</f>
        <v>1.4939495045067476E-2</v>
      </c>
      <c r="S5" s="67"/>
    </row>
    <row r="6" spans="2:19">
      <c r="B6" s="25" t="s">
        <v>41</v>
      </c>
      <c r="C6" s="46">
        <v>44.879800000000003</v>
      </c>
      <c r="D6" s="25">
        <v>49.86</v>
      </c>
      <c r="E6" s="43"/>
      <c r="F6" s="59">
        <f t="shared" ref="F6:F7" si="0">(D6-$C6)/$C6</f>
        <v>0.11096751768055998</v>
      </c>
      <c r="G6" s="25">
        <v>47.2</v>
      </c>
      <c r="H6" s="43"/>
      <c r="I6" s="59">
        <f t="shared" ref="I6:I7" si="1">(G6-$C6)/$C6</f>
        <v>5.1698091346218111E-2</v>
      </c>
      <c r="K6" s="76" t="s">
        <v>41</v>
      </c>
      <c r="L6" s="82">
        <f>C6</f>
        <v>44.879800000000003</v>
      </c>
      <c r="M6" s="76">
        <v>44.28</v>
      </c>
      <c r="N6" s="78"/>
      <c r="O6" s="81">
        <f>(M6-$L6)/$L6</f>
        <v>-1.3364587186217448E-2</v>
      </c>
      <c r="P6" s="76">
        <v>41.88</v>
      </c>
      <c r="Q6" s="78"/>
      <c r="R6" s="81">
        <f>(P6-$C6)/$C6</f>
        <v>-6.6840761322465789E-2</v>
      </c>
      <c r="S6" s="67"/>
    </row>
    <row r="7" spans="2:19">
      <c r="B7" s="54" t="s">
        <v>42</v>
      </c>
      <c r="C7" s="55">
        <f>C5+C6</f>
        <v>245.68979999999999</v>
      </c>
      <c r="D7" s="56">
        <f>D5+D6</f>
        <v>245.69</v>
      </c>
      <c r="E7" s="57"/>
      <c r="F7" s="60">
        <f t="shared" si="0"/>
        <v>8.1403460789434209E-7</v>
      </c>
      <c r="G7" s="56">
        <f>G5+G6</f>
        <v>245.69</v>
      </c>
      <c r="H7" s="57"/>
      <c r="I7" s="60">
        <f t="shared" si="1"/>
        <v>8.1403460789434209E-7</v>
      </c>
      <c r="J7" s="58"/>
      <c r="K7" s="83" t="s">
        <v>42</v>
      </c>
      <c r="L7" s="84">
        <f>L5+L6</f>
        <v>245.68979999999999</v>
      </c>
      <c r="M7" s="85">
        <f>M5+M6</f>
        <v>245.69</v>
      </c>
      <c r="N7" s="86"/>
      <c r="O7" s="87">
        <f>(M7-$L7)/$L7</f>
        <v>8.1403460789434209E-7</v>
      </c>
      <c r="P7" s="85">
        <f>P5+P6</f>
        <v>245.69</v>
      </c>
      <c r="Q7" s="86"/>
      <c r="R7" s="87">
        <f>(P7-$C7)/$C7</f>
        <v>8.1403460789434209E-7</v>
      </c>
      <c r="S7" s="67"/>
    </row>
    <row r="8" spans="2:19">
      <c r="B8" s="27" t="s">
        <v>43</v>
      </c>
      <c r="C8" s="26"/>
      <c r="D8" s="47">
        <v>342.6</v>
      </c>
      <c r="E8" s="28">
        <v>341.6</v>
      </c>
      <c r="F8" s="61">
        <f>(D8-E8)/D8</f>
        <v>2.918855808523059E-3</v>
      </c>
      <c r="G8" s="47">
        <v>323.5</v>
      </c>
      <c r="H8" s="28">
        <v>322.5</v>
      </c>
      <c r="I8" s="61">
        <f>(G8-H8)/G8</f>
        <v>3.0911901081916537E-3</v>
      </c>
      <c r="J8" s="3"/>
      <c r="K8" s="88" t="s">
        <v>43</v>
      </c>
      <c r="L8" s="89"/>
      <c r="M8" s="90">
        <v>341.3</v>
      </c>
      <c r="N8" s="91">
        <f>E8</f>
        <v>341.6</v>
      </c>
      <c r="O8" s="92">
        <f>(M8-N8)/M8</f>
        <v>-8.7899208907123161E-4</v>
      </c>
      <c r="P8" s="90">
        <v>322.5</v>
      </c>
      <c r="Q8" s="91">
        <v>322.5</v>
      </c>
      <c r="R8" s="92">
        <f>(P8-Q8)/P8</f>
        <v>0</v>
      </c>
      <c r="S8" s="67"/>
    </row>
    <row r="9" spans="2:19">
      <c r="K9" s="67"/>
      <c r="L9" s="67"/>
      <c r="M9" s="67"/>
      <c r="N9" s="67"/>
      <c r="O9" s="67"/>
      <c r="P9" s="67"/>
      <c r="Q9" s="67"/>
      <c r="R9" s="67"/>
      <c r="S9" s="67"/>
    </row>
    <row r="10" spans="2:19" ht="30">
      <c r="C10" s="33" t="s">
        <v>4</v>
      </c>
      <c r="D10" s="29"/>
      <c r="E10" s="30" t="s">
        <v>5</v>
      </c>
      <c r="F10" s="31"/>
      <c r="G10" s="29"/>
      <c r="H10" s="30" t="s">
        <v>5</v>
      </c>
      <c r="I10" s="31"/>
    </row>
    <row r="11" spans="2:19">
      <c r="C11" s="25" t="s">
        <v>6</v>
      </c>
      <c r="D11" s="25"/>
      <c r="E11" s="1">
        <v>0.98399999999999999</v>
      </c>
      <c r="F11" s="24"/>
      <c r="G11" s="25"/>
      <c r="H11" s="1">
        <v>0.60799999999999998</v>
      </c>
      <c r="I11" s="24"/>
      <c r="K11" s="12"/>
    </row>
    <row r="12" spans="2:19">
      <c r="C12" s="25" t="s">
        <v>7</v>
      </c>
      <c r="D12" s="25"/>
      <c r="E12" s="1">
        <v>6.3E-2</v>
      </c>
      <c r="F12" s="48"/>
      <c r="G12" s="49"/>
      <c r="H12" s="9">
        <v>0.04</v>
      </c>
      <c r="I12" s="24"/>
      <c r="K12" s="12"/>
    </row>
    <row r="13" spans="2:19">
      <c r="C13" s="25" t="s">
        <v>8</v>
      </c>
      <c r="D13" s="25"/>
      <c r="E13" s="1">
        <v>62.283000000000001</v>
      </c>
      <c r="F13" s="24"/>
      <c r="G13" s="25"/>
      <c r="H13" s="1">
        <v>62.154000000000003</v>
      </c>
      <c r="I13" s="24"/>
      <c r="K13" s="12"/>
    </row>
    <row r="14" spans="2:19">
      <c r="C14" s="25" t="s">
        <v>9</v>
      </c>
      <c r="D14" s="25"/>
      <c r="E14" s="1">
        <v>9.2680000000000007</v>
      </c>
      <c r="F14" s="24"/>
      <c r="G14" s="25"/>
      <c r="H14" s="1">
        <v>9.2070000000000007</v>
      </c>
      <c r="I14" s="24"/>
      <c r="K14" s="12"/>
    </row>
    <row r="15" spans="2:19">
      <c r="C15" s="25" t="s">
        <v>10</v>
      </c>
      <c r="D15" s="25"/>
      <c r="E15" s="1">
        <v>4.5670000000000002</v>
      </c>
      <c r="F15" s="24"/>
      <c r="G15" s="25"/>
      <c r="H15" s="1">
        <v>4.5389999999999997</v>
      </c>
      <c r="I15" s="24"/>
      <c r="K15" s="12"/>
    </row>
    <row r="16" spans="2:19">
      <c r="C16" s="25" t="s">
        <v>11</v>
      </c>
      <c r="D16" s="25"/>
      <c r="E16" s="1">
        <v>0.89200000000000002</v>
      </c>
      <c r="F16" s="24"/>
      <c r="G16" s="25"/>
      <c r="H16" s="1">
        <v>0.89500000000000002</v>
      </c>
      <c r="I16" s="24"/>
      <c r="K16" s="12"/>
    </row>
    <row r="17" spans="3:11">
      <c r="C17" s="25" t="s">
        <v>12</v>
      </c>
      <c r="D17" s="25"/>
      <c r="E17" s="1">
        <v>1.5680000000000001</v>
      </c>
      <c r="F17" s="24"/>
      <c r="G17" s="25"/>
      <c r="H17" s="1">
        <v>1.528</v>
      </c>
      <c r="I17" s="24"/>
      <c r="K17" s="12"/>
    </row>
    <row r="18" spans="3:11">
      <c r="C18" s="25" t="s">
        <v>13</v>
      </c>
      <c r="D18" s="25"/>
      <c r="E18" s="1">
        <v>0.63500000000000001</v>
      </c>
      <c r="F18" s="24"/>
      <c r="G18" s="25"/>
      <c r="H18" s="1">
        <v>0.61099999999999999</v>
      </c>
      <c r="I18" s="24"/>
      <c r="K18" s="12"/>
    </row>
    <row r="19" spans="3:11">
      <c r="C19" s="25" t="s">
        <v>14</v>
      </c>
      <c r="D19" s="25"/>
      <c r="E19" s="1">
        <v>0.72599999999999998</v>
      </c>
      <c r="F19" s="24"/>
      <c r="G19" s="25"/>
      <c r="H19" s="1">
        <v>0.69799999999999995</v>
      </c>
      <c r="I19" s="24"/>
      <c r="K19" s="12"/>
    </row>
    <row r="20" spans="3:11">
      <c r="C20" s="25" t="s">
        <v>15</v>
      </c>
      <c r="D20" s="25"/>
      <c r="E20" s="1">
        <v>0.88300000000000001</v>
      </c>
      <c r="F20" s="24"/>
      <c r="G20" s="25"/>
      <c r="H20" s="1">
        <v>0.86299999999999999</v>
      </c>
      <c r="I20" s="24"/>
      <c r="K20" s="12"/>
    </row>
    <row r="21" spans="3:11">
      <c r="C21" s="25" t="s">
        <v>16</v>
      </c>
      <c r="D21" s="25"/>
      <c r="E21" s="1">
        <v>0.77600000000000002</v>
      </c>
      <c r="F21" s="24"/>
      <c r="G21" s="25"/>
      <c r="H21" s="1">
        <v>0.78200000000000003</v>
      </c>
      <c r="I21" s="24"/>
      <c r="K21" s="12"/>
    </row>
    <row r="22" spans="3:11">
      <c r="C22" s="25" t="s">
        <v>17</v>
      </c>
      <c r="D22" s="25"/>
      <c r="E22" s="1">
        <v>1.361</v>
      </c>
      <c r="F22" s="24"/>
      <c r="G22" s="25"/>
      <c r="H22" s="1">
        <v>1.38</v>
      </c>
      <c r="I22" s="24"/>
      <c r="K22" s="12"/>
    </row>
    <row r="23" spans="3:11">
      <c r="C23" s="25" t="s">
        <v>18</v>
      </c>
      <c r="D23" s="25"/>
      <c r="E23" s="1">
        <v>2.379</v>
      </c>
      <c r="F23" s="24"/>
      <c r="G23" s="25"/>
      <c r="H23" s="1">
        <v>2.431</v>
      </c>
      <c r="I23" s="24"/>
      <c r="K23" s="12"/>
    </row>
    <row r="24" spans="3:11">
      <c r="C24" s="25" t="s">
        <v>19</v>
      </c>
      <c r="D24" s="25"/>
      <c r="E24" s="1">
        <v>13.616</v>
      </c>
      <c r="F24" s="24"/>
      <c r="G24" s="25"/>
      <c r="H24" s="1">
        <v>14.263999999999999</v>
      </c>
      <c r="I24" s="24"/>
      <c r="K24" s="12"/>
    </row>
    <row r="25" spans="3:11">
      <c r="C25" s="25"/>
      <c r="D25" s="25"/>
      <c r="F25" s="24"/>
      <c r="G25" s="25"/>
      <c r="I25" s="24"/>
    </row>
    <row r="26" spans="3:11">
      <c r="C26" s="25" t="s">
        <v>20</v>
      </c>
      <c r="D26" s="25"/>
      <c r="E26" s="1">
        <v>305.90499999999997</v>
      </c>
      <c r="F26" s="24"/>
      <c r="G26" s="25"/>
      <c r="H26" s="1">
        <v>308.75599999999997</v>
      </c>
      <c r="I26" s="24"/>
    </row>
    <row r="27" spans="3:11">
      <c r="C27" s="25" t="s">
        <v>21</v>
      </c>
      <c r="D27" s="25"/>
      <c r="E27" s="12">
        <v>0.87876999999999994</v>
      </c>
      <c r="F27" s="50"/>
      <c r="G27" s="51"/>
      <c r="H27" s="12">
        <v>0.87988999999999995</v>
      </c>
      <c r="I27" s="24"/>
    </row>
    <row r="28" spans="3:11">
      <c r="C28" s="25"/>
      <c r="D28" s="25"/>
      <c r="F28" s="24"/>
      <c r="G28" s="25"/>
      <c r="I28" s="24"/>
    </row>
    <row r="29" spans="3:11">
      <c r="C29" s="25" t="s">
        <v>22</v>
      </c>
      <c r="D29" s="25"/>
      <c r="E29" s="1">
        <v>87.171000000000006</v>
      </c>
      <c r="F29" s="48"/>
      <c r="G29" s="49"/>
      <c r="H29" s="9">
        <v>87.4</v>
      </c>
      <c r="I29" s="24"/>
    </row>
    <row r="30" spans="3:11">
      <c r="C30" s="25" t="s">
        <v>23</v>
      </c>
      <c r="D30" s="25"/>
      <c r="E30" s="1">
        <v>96.995000000000005</v>
      </c>
      <c r="F30" s="24"/>
      <c r="G30" s="25"/>
      <c r="H30" s="1">
        <v>97.043000000000006</v>
      </c>
      <c r="I30" s="24"/>
    </row>
    <row r="31" spans="3:11">
      <c r="C31" s="25" t="s">
        <v>24</v>
      </c>
      <c r="D31" s="25"/>
      <c r="E31" s="1">
        <v>113.678</v>
      </c>
      <c r="F31" s="24"/>
      <c r="G31" s="25"/>
      <c r="H31" s="1">
        <v>113.73699999999999</v>
      </c>
      <c r="I31" s="24"/>
    </row>
    <row r="32" spans="3:11">
      <c r="C32" s="25" t="s">
        <v>25</v>
      </c>
      <c r="D32" s="25"/>
      <c r="E32" s="1">
        <v>305.90499999999997</v>
      </c>
      <c r="F32" s="24"/>
      <c r="G32" s="25"/>
      <c r="H32" s="1">
        <v>308.75599999999997</v>
      </c>
      <c r="I32" s="24"/>
    </row>
    <row r="33" spans="3:9">
      <c r="C33" s="25" t="s">
        <v>26</v>
      </c>
      <c r="D33" s="25"/>
      <c r="E33" s="1">
        <v>770.80700000000002</v>
      </c>
      <c r="F33" s="24"/>
      <c r="G33" s="25"/>
      <c r="H33" s="1">
        <v>769.98699999999997</v>
      </c>
      <c r="I33" s="24"/>
    </row>
    <row r="34" spans="3:9">
      <c r="C34" s="25" t="s">
        <v>27</v>
      </c>
      <c r="D34" s="25"/>
      <c r="E34" s="1">
        <v>800.18700000000001</v>
      </c>
      <c r="F34" s="24"/>
      <c r="G34" s="25"/>
      <c r="H34" s="1">
        <v>800.33</v>
      </c>
      <c r="I34" s="24"/>
    </row>
    <row r="35" spans="3:9">
      <c r="C35" s="25" t="s">
        <v>28</v>
      </c>
      <c r="D35" s="25"/>
      <c r="E35" s="1">
        <v>831.86300000000006</v>
      </c>
      <c r="F35" s="24"/>
      <c r="G35" s="25"/>
      <c r="H35" s="1">
        <v>831.577</v>
      </c>
      <c r="I35" s="24"/>
    </row>
    <row r="36" spans="3:9">
      <c r="C36" s="32" t="s">
        <v>29</v>
      </c>
      <c r="D36" s="32"/>
      <c r="E36" s="52">
        <v>878.77</v>
      </c>
      <c r="F36" s="53"/>
      <c r="G36" s="32"/>
      <c r="H36" s="52">
        <v>879.89</v>
      </c>
      <c r="I36" s="53"/>
    </row>
    <row r="38" spans="3:9">
      <c r="E38" s="9">
        <f>SUM(E11:E24)</f>
        <v>100.00099999999999</v>
      </c>
      <c r="H38" s="9">
        <f>SUM(H11:H24)</f>
        <v>100</v>
      </c>
    </row>
  </sheetData>
  <mergeCells count="6">
    <mergeCell ref="D1:F1"/>
    <mergeCell ref="G1:I1"/>
    <mergeCell ref="M1:O1"/>
    <mergeCell ref="P1:R1"/>
    <mergeCell ref="B2:C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4A9A-C21E-4FA8-938D-C75B6B9A6AA3}">
  <dimension ref="B1:AX93"/>
  <sheetViews>
    <sheetView tabSelected="1" workbookViewId="0">
      <selection activeCell="G31" sqref="G31"/>
    </sheetView>
  </sheetViews>
  <sheetFormatPr defaultColWidth="8.7109375" defaultRowHeight="15"/>
  <cols>
    <col min="1" max="1" width="8.7109375" style="1"/>
    <col min="2" max="2" width="28" style="1" customWidth="1"/>
    <col min="3" max="3" width="21" style="1" customWidth="1"/>
    <col min="4" max="5" width="17.5703125" style="1" customWidth="1"/>
    <col min="6" max="6" width="15.85546875" style="1" customWidth="1"/>
    <col min="7" max="7" width="20.85546875" style="1" customWidth="1"/>
    <col min="8" max="8" width="12.5703125" style="1" customWidth="1"/>
    <col min="9" max="16384" width="8.7109375" style="1"/>
  </cols>
  <sheetData>
    <row r="1" spans="2:5" ht="13.5" customHeight="1"/>
    <row r="2" spans="2:5" ht="27.75" customHeight="1">
      <c r="B2" s="127" t="s">
        <v>44</v>
      </c>
      <c r="C2" s="128"/>
    </row>
    <row r="3" spans="2:5">
      <c r="B3" s="107" t="s">
        <v>38</v>
      </c>
      <c r="C3" s="64">
        <v>86.729763133431248</v>
      </c>
    </row>
    <row r="4" spans="2:5">
      <c r="B4" s="108" t="s">
        <v>39</v>
      </c>
      <c r="C4" s="98">
        <v>66.576393480404164</v>
      </c>
    </row>
    <row r="5" spans="2:5">
      <c r="B5" s="107" t="s">
        <v>40</v>
      </c>
      <c r="C5" s="64">
        <v>294.79469012209063</v>
      </c>
    </row>
    <row r="6" spans="2:5">
      <c r="B6" s="109" t="s">
        <v>41</v>
      </c>
      <c r="C6" s="66">
        <v>77.815974557053551</v>
      </c>
    </row>
    <row r="7" spans="2:5">
      <c r="B7" s="110" t="s">
        <v>42</v>
      </c>
      <c r="C7" s="99">
        <f>C5+C6</f>
        <v>372.61066467914418</v>
      </c>
    </row>
    <row r="9" spans="2:5" ht="37.5" customHeight="1">
      <c r="B9" s="9"/>
      <c r="C9" s="112" t="s">
        <v>45</v>
      </c>
      <c r="D9" s="113" t="s">
        <v>46</v>
      </c>
      <c r="E9" s="9"/>
    </row>
    <row r="10" spans="2:5">
      <c r="B10" s="111" t="s">
        <v>43</v>
      </c>
      <c r="C10" s="100">
        <v>334.1</v>
      </c>
      <c r="D10" s="101">
        <v>326.39999999999998</v>
      </c>
      <c r="E10" s="9"/>
    </row>
    <row r="11" spans="2:5">
      <c r="E11" s="9"/>
    </row>
    <row r="12" spans="2:5">
      <c r="E12" s="9"/>
    </row>
    <row r="13" spans="2:5">
      <c r="B13" s="114" t="s">
        <v>47</v>
      </c>
      <c r="C13" s="115" t="s">
        <v>5</v>
      </c>
      <c r="E13" s="9"/>
    </row>
    <row r="14" spans="2:5">
      <c r="B14" s="118" t="s">
        <v>6</v>
      </c>
      <c r="C14" s="94">
        <v>0.48197841644287098</v>
      </c>
      <c r="E14" s="96"/>
    </row>
    <row r="15" spans="2:5">
      <c r="B15" s="118" t="s">
        <v>7</v>
      </c>
      <c r="C15" s="94">
        <v>6.1720568686723702E-2</v>
      </c>
      <c r="E15" s="96"/>
    </row>
    <row r="16" spans="2:5">
      <c r="B16" s="118" t="s">
        <v>8</v>
      </c>
      <c r="C16" s="94">
        <v>60.210330963134702</v>
      </c>
      <c r="E16" s="96"/>
    </row>
    <row r="17" spans="2:8">
      <c r="B17" s="118" t="s">
        <v>9</v>
      </c>
      <c r="C17" s="94">
        <v>8.0315332412719709</v>
      </c>
      <c r="E17" s="96"/>
    </row>
    <row r="18" spans="2:8">
      <c r="B18" s="118" t="s">
        <v>10</v>
      </c>
      <c r="C18" s="94">
        <v>5.7756161689758301</v>
      </c>
      <c r="E18" s="96"/>
    </row>
    <row r="19" spans="2:8">
      <c r="B19" s="118" t="s">
        <v>11</v>
      </c>
      <c r="C19" s="94">
        <v>1.5326563119888299</v>
      </c>
      <c r="E19" s="96"/>
    </row>
    <row r="20" spans="2:8">
      <c r="B20" s="118" t="s">
        <v>12</v>
      </c>
      <c r="C20" s="94">
        <v>2.6304726600646902</v>
      </c>
      <c r="E20" s="96"/>
    </row>
    <row r="21" spans="2:8">
      <c r="B21" s="118" t="s">
        <v>13</v>
      </c>
      <c r="C21" s="94">
        <v>0.89587467908859197</v>
      </c>
      <c r="E21" s="96"/>
    </row>
    <row r="22" spans="2:8">
      <c r="B22" s="118" t="s">
        <v>14</v>
      </c>
      <c r="C22" s="94">
        <v>0.90595334768295199</v>
      </c>
      <c r="E22" s="96"/>
    </row>
    <row r="23" spans="2:8">
      <c r="B23" s="118" t="s">
        <v>15</v>
      </c>
      <c r="C23" s="94">
        <v>1.0215127244591713</v>
      </c>
      <c r="E23" s="96"/>
    </row>
    <row r="24" spans="2:8">
      <c r="B24" s="118" t="s">
        <v>16</v>
      </c>
      <c r="C24" s="94">
        <v>1.4960859753191422</v>
      </c>
      <c r="E24" s="96"/>
    </row>
    <row r="25" spans="2:8">
      <c r="B25" s="118" t="s">
        <v>17</v>
      </c>
      <c r="C25" s="94">
        <v>1.7793874742928837</v>
      </c>
      <c r="E25" s="96"/>
    </row>
    <row r="26" spans="2:8">
      <c r="B26" s="118" t="s">
        <v>18</v>
      </c>
      <c r="C26" s="94">
        <v>1.3714363612234555</v>
      </c>
      <c r="E26" s="96"/>
    </row>
    <row r="27" spans="2:8">
      <c r="B27" s="118" t="s">
        <v>19</v>
      </c>
      <c r="C27" s="94">
        <v>13.805439659699891</v>
      </c>
      <c r="E27" s="96"/>
      <c r="G27" s="65"/>
      <c r="H27" s="65"/>
    </row>
    <row r="28" spans="2:8">
      <c r="B28" s="119" t="s">
        <v>48</v>
      </c>
      <c r="C28" s="102">
        <f>SUM(C14:C27)</f>
        <v>99.999998552331704</v>
      </c>
      <c r="E28" s="63"/>
      <c r="G28" s="65"/>
      <c r="H28" s="9"/>
    </row>
    <row r="29" spans="2:8">
      <c r="B29" s="116" t="s">
        <v>20</v>
      </c>
      <c r="C29" s="104">
        <v>296.58</v>
      </c>
      <c r="E29" s="63"/>
    </row>
    <row r="30" spans="2:8">
      <c r="B30" s="117" t="s">
        <v>21</v>
      </c>
      <c r="C30" s="103">
        <v>0.87570000000000003</v>
      </c>
      <c r="E30" s="63"/>
    </row>
    <row r="31" spans="2:8">
      <c r="B31" s="116" t="s">
        <v>22</v>
      </c>
      <c r="C31" s="104">
        <v>93.426742553710895</v>
      </c>
      <c r="E31" s="63"/>
    </row>
    <row r="32" spans="2:8">
      <c r="B32" s="118" t="s">
        <v>23</v>
      </c>
      <c r="C32" s="105">
        <v>108.005477905273</v>
      </c>
      <c r="E32" s="63"/>
    </row>
    <row r="33" spans="2:50">
      <c r="B33" s="118" t="s">
        <v>24</v>
      </c>
      <c r="C33" s="105">
        <v>121.37319946289</v>
      </c>
      <c r="E33" s="63"/>
    </row>
    <row r="34" spans="2:50">
      <c r="B34" s="117" t="s">
        <v>25</v>
      </c>
      <c r="C34" s="106">
        <v>296.580322265625</v>
      </c>
    </row>
    <row r="35" spans="2:50">
      <c r="B35" s="116" t="s">
        <v>26</v>
      </c>
      <c r="C35" s="104">
        <v>759.76324081420898</v>
      </c>
      <c r="F35" s="65"/>
      <c r="G35" s="65"/>
    </row>
    <row r="36" spans="2:50">
      <c r="B36" s="118" t="s">
        <v>27</v>
      </c>
      <c r="C36" s="105">
        <v>779.99258041381802</v>
      </c>
    </row>
    <row r="37" spans="2:50">
      <c r="B37" s="118" t="s">
        <v>28</v>
      </c>
      <c r="C37" s="105">
        <v>808.58069658279396</v>
      </c>
      <c r="U37" s="62"/>
      <c r="V37" s="62"/>
      <c r="AS37" s="62"/>
    </row>
    <row r="38" spans="2:50">
      <c r="B38" s="117" t="s">
        <v>29</v>
      </c>
      <c r="C38" s="106">
        <v>875.69576501846302</v>
      </c>
      <c r="U38" s="62"/>
      <c r="V38" s="62"/>
      <c r="AS38" s="62"/>
    </row>
    <row r="39" spans="2:50">
      <c r="U39" s="62"/>
      <c r="V39" s="62"/>
      <c r="AS39" s="62"/>
    </row>
    <row r="40" spans="2:50">
      <c r="U40" s="62"/>
      <c r="V40" s="62"/>
      <c r="AS40" s="62"/>
    </row>
    <row r="41" spans="2:50">
      <c r="U41" s="62"/>
      <c r="V41" s="62"/>
      <c r="AS41" s="62"/>
    </row>
    <row r="42" spans="2:50">
      <c r="U42" s="62"/>
      <c r="V42" s="62"/>
      <c r="AK42" s="62"/>
      <c r="AO42" s="62"/>
    </row>
    <row r="43" spans="2:50">
      <c r="U43" s="62"/>
      <c r="V43" s="62"/>
    </row>
    <row r="44" spans="2:50">
      <c r="B44" s="95"/>
      <c r="G44" s="95"/>
      <c r="U44" s="62"/>
      <c r="V44" s="62"/>
    </row>
    <row r="45" spans="2:50">
      <c r="V45" s="62"/>
    </row>
    <row r="46" spans="2:50">
      <c r="V46" s="62"/>
    </row>
    <row r="47" spans="2:50">
      <c r="C47" s="63"/>
      <c r="D47" s="63"/>
      <c r="H47" s="63"/>
      <c r="K47" s="96"/>
      <c r="V47" s="62"/>
      <c r="Z47" s="62"/>
      <c r="AA47" s="62"/>
      <c r="AX47" s="62"/>
    </row>
    <row r="48" spans="2:50">
      <c r="C48" s="63"/>
      <c r="D48" s="63"/>
      <c r="H48" s="63"/>
      <c r="K48" s="96"/>
      <c r="V48" s="62"/>
      <c r="Z48" s="62"/>
      <c r="AA48" s="62"/>
      <c r="AP48" s="62"/>
      <c r="AT48" s="62"/>
    </row>
    <row r="49" spans="3:27">
      <c r="C49" s="63"/>
      <c r="D49" s="63"/>
      <c r="H49" s="63"/>
      <c r="K49" s="96"/>
      <c r="V49" s="62"/>
      <c r="Z49" s="62"/>
      <c r="AA49" s="62"/>
    </row>
    <row r="50" spans="3:27">
      <c r="C50" s="63"/>
      <c r="D50" s="63"/>
      <c r="H50" s="63"/>
      <c r="K50" s="96"/>
      <c r="V50" s="62"/>
      <c r="Z50" s="62"/>
      <c r="AA50" s="62"/>
    </row>
    <row r="51" spans="3:27">
      <c r="C51" s="63"/>
      <c r="D51" s="63"/>
      <c r="H51" s="63"/>
      <c r="K51" s="96"/>
      <c r="V51" s="62"/>
      <c r="AA51" s="62"/>
    </row>
    <row r="52" spans="3:27">
      <c r="C52" s="63"/>
      <c r="D52" s="63"/>
      <c r="H52" s="63"/>
      <c r="K52" s="96"/>
      <c r="V52" s="62"/>
      <c r="AA52" s="62"/>
    </row>
    <row r="53" spans="3:27">
      <c r="C53" s="63"/>
      <c r="D53" s="63"/>
      <c r="H53" s="63"/>
      <c r="K53" s="96"/>
      <c r="V53" s="62"/>
      <c r="AA53" s="62"/>
    </row>
    <row r="54" spans="3:27">
      <c r="C54" s="63"/>
      <c r="D54" s="63"/>
      <c r="H54" s="63"/>
      <c r="K54" s="96"/>
      <c r="V54" s="62"/>
      <c r="AA54" s="62"/>
    </row>
    <row r="55" spans="3:27">
      <c r="C55" s="63"/>
      <c r="D55" s="63"/>
      <c r="H55" s="63"/>
      <c r="K55" s="96"/>
      <c r="V55" s="62"/>
      <c r="AA55" s="62"/>
    </row>
    <row r="56" spans="3:27">
      <c r="C56" s="63"/>
      <c r="D56" s="63"/>
      <c r="E56" s="12"/>
      <c r="H56" s="63"/>
      <c r="I56" s="97"/>
      <c r="J56" s="9"/>
      <c r="K56" s="96"/>
      <c r="V56" s="62"/>
      <c r="AA56" s="62"/>
    </row>
    <row r="57" spans="3:27">
      <c r="V57" s="62"/>
    </row>
    <row r="58" spans="3:27">
      <c r="V58" s="62"/>
    </row>
    <row r="59" spans="3:27">
      <c r="V59" s="62"/>
    </row>
    <row r="60" spans="3:27">
      <c r="V60" s="62"/>
    </row>
    <row r="61" spans="3:27">
      <c r="V61" s="62"/>
    </row>
    <row r="62" spans="3:27">
      <c r="V62" s="62"/>
    </row>
    <row r="63" spans="3:27">
      <c r="V63" s="62"/>
    </row>
    <row r="64" spans="3:27">
      <c r="V64" s="62"/>
    </row>
    <row r="65" spans="22:22">
      <c r="V65" s="62"/>
    </row>
    <row r="66" spans="22:22">
      <c r="V66" s="62"/>
    </row>
    <row r="67" spans="22:22">
      <c r="V67" s="62"/>
    </row>
    <row r="68" spans="22:22">
      <c r="V68" s="62"/>
    </row>
    <row r="83" spans="21:45">
      <c r="U83" s="62"/>
      <c r="V83" s="62"/>
      <c r="AS83" s="62"/>
    </row>
    <row r="84" spans="21:45">
      <c r="U84" s="62"/>
      <c r="V84" s="62"/>
      <c r="AK84" s="62"/>
      <c r="AO84" s="62"/>
    </row>
    <row r="85" spans="21:45">
      <c r="U85" s="62"/>
      <c r="V85" s="62"/>
    </row>
    <row r="86" spans="21:45">
      <c r="U86" s="62"/>
      <c r="V86" s="62"/>
    </row>
    <row r="87" spans="21:45">
      <c r="V87" s="62"/>
    </row>
    <row r="88" spans="21:45">
      <c r="V88" s="62"/>
    </row>
    <row r="89" spans="21:45">
      <c r="V89" s="62"/>
    </row>
    <row r="90" spans="21:45">
      <c r="V90" s="62"/>
    </row>
    <row r="91" spans="21:45">
      <c r="V91" s="62"/>
    </row>
    <row r="92" spans="21:45">
      <c r="V92" s="62"/>
    </row>
    <row r="93" spans="21:45">
      <c r="V93" s="62"/>
    </row>
  </sheetData>
  <mergeCells count="1">
    <mergeCell ref="B2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a4a235-b6e2-48d5-9195-7fcf05b459b0}" enabled="0" method="" siteId="{3aa4a235-b6e2-48d5-9195-7fcf05b459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Grethe Anda Fuglestad</dc:creator>
  <cp:keywords/>
  <dc:description/>
  <cp:lastModifiedBy>Patricio Panichelli</cp:lastModifiedBy>
  <cp:revision/>
  <dcterms:created xsi:type="dcterms:W3CDTF">2025-03-05T09:02:59Z</dcterms:created>
  <dcterms:modified xsi:type="dcterms:W3CDTF">2026-03-27T11:10:52Z</dcterms:modified>
  <cp:category/>
  <cp:contentStatus/>
</cp:coreProperties>
</file>